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7db55cdcb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141b2ae9e1147f8"/>
    <x:sheet xmlns:r="http://schemas.openxmlformats.org/officeDocument/2006/relationships" name="Best-effort matches" sheetId="2" r:id="R6a410854616d445f"/>
    <x:sheet xmlns:r="http://schemas.openxmlformats.org/officeDocument/2006/relationships" name="Leonteq execution" sheetId="3" r:id="R4b1b4ab071b8418e"/>
    <x:sheet xmlns:r="http://schemas.openxmlformats.org/officeDocument/2006/relationships" name="AIRS ledger" sheetId="4" r:id="Rb07ff4437af4482c"/>
    <x:sheet xmlns:r="http://schemas.openxmlformats.org/officeDocument/2006/relationships" name="Unmatched Leonteq" sheetId="5" r:id="Rbaba80ed11a1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-"/>
    <x:numFmt numFmtId="202" formatCode="#,##0.00;(#,##0.00);-"/>
    <x:numFmt numFmtId="203" formatCode="0.0%;(0.0%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c8308dbc04174" /><Relationship Type="http://schemas.openxmlformats.org/officeDocument/2006/relationships/theme" Target="/xl/theme/theme1.xml" Id="R64d27a3dfa7a4e83" /><Relationship Type="http://schemas.openxmlformats.org/officeDocument/2006/relationships/sharedStrings" Target="/xl/sharedStrings.xml" Id="R6c5b9177b7f74637" /><Relationship Type="http://schemas.openxmlformats.org/officeDocument/2006/relationships/worksheet" Target="/xl/worksheets/sheet1.xml" Id="Rd141b2ae9e1147f8" /><Relationship Type="http://schemas.openxmlformats.org/officeDocument/2006/relationships/worksheet" Target="/xl/worksheets/sheet2.xml" Id="R6a410854616d445f" /><Relationship Type="http://schemas.openxmlformats.org/officeDocument/2006/relationships/worksheet" Target="/xl/worksheets/sheet3.xml" Id="R4b1b4ab071b8418e" /><Relationship Type="http://schemas.openxmlformats.org/officeDocument/2006/relationships/worksheet" Target="/xl/worksheets/sheet4.xml" Id="Rb07ff4437af4482c" /><Relationship Type="http://schemas.openxmlformats.org/officeDocument/2006/relationships/worksheet" Target="/xl/worksheets/sheet5.xml" Id="Rbaba80ed11a14c8f" /></Relationships>
</file>

<file path=xl/tables/table1.xml><?xml version="1.0" encoding="utf-8"?>
<x:table xmlns:x="http://schemas.openxmlformats.org/spreadsheetml/2006/main" id="1" name="BestEffortMatchTable" displayName="BestEffortMatchTable" ref="A4:N51" headerRowCount="1" totalsRowCount="0" totalsRowShown="0">
  <x:tableColumns count="14">
    <x:tableColumn id="1" name="AIRS row"/>
    <x:tableColumn id="2" name="AIRS date"/>
    <x:tableColumn id="3" name="AIRS type"/>
    <x:tableColumn id="4" name="AIRS instrument"/>
    <x:tableColumn id="5" name="Normalized instrument"/>
    <x:tableColumn id="6" name="Expected side"/>
    <x:tableColumn id="7" name="AIRS quantity"/>
    <x:tableColumn id="8" name="Leonteq date"/>
    <x:tableColumn id="9" name="Leonteq instrument"/>
    <x:tableColumn id="10" name="Leonteq side"/>
    <x:tableColumn id="11" name="Leonteq quantity"/>
    <x:tableColumn id="12" name="Date gap (days)"/>
    <x:tableColumn id="13" name="Quantity difference"/>
    <x:tableColumn id="14" name="Match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irsReportTable" displayName="AirsReportTable" ref="A4:N51" headerRowCount="1" totalsRowCount="0" totalsRowShown="0">
  <x:tableColumns count="14">
    <x:tableColumn id="1" name="Datum"/>
    <x:tableColumn id="2" name="Tt"/>
    <x:tableColumn id="3" name="Aantal"/>
    <x:tableColumn id="4" name="Fonds"/>
    <x:tableColumn id="5" name="Fondskoers"/>
    <x:tableColumn id="6" name="Waarde"/>
    <x:tableColumn id="7" name="Waarde EUR"/>
    <x:tableColumn id="8" name="Koers"/>
    <x:tableColumn id="9" name="Waarde (verkoop)"/>
    <x:tableColumn id="10" name="Waarde EUR (verkoop)"/>
    <x:tableColumn id="11" name="Kostprijs"/>
    <x:tableColumn id="12" name="Res. voorg. jr."/>
    <x:tableColumn id="13" name="Res. YtD"/>
    <x:tableColumn id="14" name="Res. in 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UnmatchedLeonteqTable" displayName="UnmatchedLeonteqTable" ref="A4:H122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e1e14377214a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1330da837745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5f9db37846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bb68e0081a48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Leonteq execution records</x:v>
      </x:c>
      <x:c r="B5" s="16" t="n">
        <x:v>155</x:v>
      </x:c>
    </x:row>
    <x:row r="6" ht="15" hidden="0" customHeight="1">
      <x:c r="A6" s="15" t="str">
        <x:v>AIRS ledger records</x:v>
      </x:c>
      <x:c r="B6" s="16" t="n">
        <x:v>47</x:v>
      </x:c>
    </x:row>
    <x:row r="7" ht="15" hidden="0" customHeight="1">
      <x:c r="A7" s="15" t="str">
        <x:v>Exact date and quantity matches</x:v>
      </x:c>
      <x:c r="B7" s="16" t="n">
        <x:f>COUNTIF('Best-effort matches'!$N$5:$N$51,"Exact date + quantity")</x:f>
        <x:v>0</x:v>
      </x:c>
    </x:row>
    <x:row r="8" ht="15" hidden="0" customHeight="1">
      <x:c r="A8" s="15" t="str">
        <x:v>Exact quantity, different date</x:v>
      </x:c>
      <x:c r="B8" s="16" t="n">
        <x:f>COUNTIF('Best-effort matches'!$N$5:$N$51,"Exact quantity; different date")</x:f>
        <x:v>0</x:v>
      </x:c>
    </x:row>
    <x:row r="9" ht="15" hidden="0" customHeight="1">
      <x:c r="A9" s="15" t="str">
        <x:v>Same-date quantity differences</x:v>
      </x:c>
      <x:c r="B9" s="16" t="n">
        <x:f>COUNTIF('Best-effort matches'!$N$5:$N$51,"Same date; quantity differs")</x:f>
        <x:v>28</x:v>
      </x:c>
    </x:row>
    <x:row r="10" ht="15" hidden="0" customHeight="1">
      <x:c r="A10" s="15" t="str">
        <x:v>Closest same-side matches to review</x:v>
      </x:c>
      <x:c r="B10" s="16" t="n">
        <x:f>COUNTIF('Best-effort matches'!$N$5:$N$51,"Closest same-side candidate; review")</x:f>
        <x:v>9</x:v>
      </x:c>
    </x:row>
    <x:row r="11" ht="15" hidden="0" customHeight="1">
      <x:c r="A11" s="15" t="str">
        <x:v>AIRS rows without a Leonteq candidate</x:v>
      </x:c>
      <x:c r="B11" s="16" t="n">
        <x:f>COUNTIF('Best-effort matches'!$N$5:$N$51,"No same-side Leonteq candidate")</x:f>
        <x:v>10</x:v>
      </x:c>
    </x:row>
    <x:row r="12" ht="15" hidden="0" customHeight="1">
      <x:c r="A12" s="15" t="str">
        <x:v>Leonteq transactions not used by a match</x:v>
      </x:c>
      <x:c r="B12" s="16" t="n">
        <x:v>118</x:v>
      </x:c>
    </x:row>
    <x:row r="13" ht="24" hidden="0" customHeight="1">
      <x:c r="A13" s="15" t="str">
        <x:v>Primary finding</x:v>
      </x:c>
      <x:c r="B13" s="16" t="str">
        <x:v>Every source row is retained. The match sheet is a best-effort pairing by instrument, inferred side, quantity and date proximity.</x:v>
      </x:c>
    </x:row>
    <x:row r="14" ht="15" hidden="0" customHeight="1">
      <x:c r="A14" s="13"/>
      <x:c r="B14" s="13"/>
    </x:row>
    <x:row r="15" ht="15" hidden="0" customHeight="1">
      <x:c r="A15" s="13"/>
      <x:c r="B15" s="13"/>
    </x:row>
    <x:row r="16" ht="15" hidden="0" customHeight="1">
      <x:c r="A16" s="10" t="str">
        <x:v>How to use this workbook</x:v>
      </x:c>
      <x:c r="B16" s="10" t="str"/>
    </x:row>
    <x:row r="17" ht="15" hidden="0" customHeight="1">
      <x:c r="A17" s="17" t="str">
        <x:v>1</x:v>
      </x:c>
      <x:c r="B17" s="16" t="str">
        <x:v>Start on Best-effort matches. Filter Match result to review the least reliable pairings first.</x:v>
      </x:c>
    </x:row>
    <x:row r="18" ht="15" hidden="0" customHeight="1">
      <x:c r="A18" s="17" t="str">
        <x:v>2</x:v>
      </x:c>
      <x:c r="B18" s="16" t="str">
        <x:v>All 155 Leonteq records and all 47 AIRS rows remain intact in their own source tabs.</x:v>
      </x:c>
    </x:row>
    <x:row r="19" ht="15" hidden="0" customHeight="1">
      <x:c r="A19" s="17" t="str">
        <x:v>3</x:v>
      </x:c>
      <x:c r="B19" s="16" t="str">
        <x:v>Use Unmatched Leonteq to identify execution records that were not consumed by a one-to-one AIRS match.</x:v>
      </x:c>
    </x:row>
    <x:row r="20" ht="15" hidden="0" customHeight="1">
      <x:c r="A20" s="17" t="str">
        <x:v>4</x:v>
      </x:c>
      <x:c r="B20" s="16" t="str">
        <x:v>Confirm that AIRS A means buy and V means sell before treating a match as final.</x:v>
      </x:c>
    </x:row>
    <x:row r="21" ht="24" hidden="0" customHeight="1">
      <x:c r="A21" s="17" t="str">
        <x:v>Note</x:v>
      </x:c>
      <x:c r="B21" s="16" t="str">
        <x:v>Matching uses normalized instrument name and inferred side. Exact quantity is preferred, then same date, then closest date. It is a review aid, not an accounting reconciliation.</x:v>
      </x:c>
    </x:row>
    <x:row r="22">
      <x:c r="A22" s="13"/>
      <x:c r="B22" s="13"/>
    </x:row>
    <x:row r="23">
      <x:c r="A23" s="13"/>
      <x:c r="B23" s="13"/>
    </x:row>
    <x:row r="24">
      <x:c r="A24" s="13"/>
      <x:c r="B24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31" hidden="0" customWidth="1"/>
    <x:col min="5" max="5" width="35" hidden="0" customWidth="1"/>
    <x:col min="6" max="6" width="14" hidden="0" customWidth="1"/>
    <x:col min="7" max="7" width="14" hidden="0" customWidth="1"/>
    <x:col min="8" max="8" width="14" hidden="0" customWidth="1"/>
    <x:col min="9" max="9" width="37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35" hidden="0" customWidth="1"/>
  </x:cols>
  <x:sheetData>
    <x:row r="2">
      <x:c r="A2" s="1" t="str">
        <x:v>Best-effort AIRS to Leonteq matching</x:v>
      </x:c>
    </x:row>
    <x:row r="4">
      <x:c r="A4" s="22" t="str">
        <x:v>AIRS row</x:v>
      </x:c>
      <x:c r="B4" s="22" t="str">
        <x:v>AIRS date</x:v>
      </x:c>
      <x:c r="C4" s="22" t="str">
        <x:v>AIRS type</x:v>
      </x:c>
      <x:c r="D4" s="22" t="str">
        <x:v>AIRS instrument</x:v>
      </x:c>
      <x:c r="E4" s="22" t="str">
        <x:v>Normalized instrument</x:v>
      </x:c>
      <x:c r="F4" s="22" t="str">
        <x:v>Expected side</x:v>
      </x:c>
      <x:c r="G4" s="22" t="str">
        <x:v>AIRS quantity</x:v>
      </x:c>
      <x:c r="H4" s="22" t="str">
        <x:v>Leonteq date</x:v>
      </x:c>
      <x:c r="I4" s="22" t="str">
        <x:v>Leonteq instrument</x:v>
      </x:c>
      <x:c r="J4" s="22" t="str">
        <x:v>Leonteq side</x:v>
      </x:c>
      <x:c r="K4" s="22" t="str">
        <x:v>Leonteq quantity</x:v>
      </x:c>
      <x:c r="L4" s="22" t="str">
        <x:v>Date gap (days)</x:v>
      </x:c>
      <x:c r="M4" s="22" t="str">
        <x:v>Quantity difference</x:v>
      </x:c>
      <x:c r="N4" s="22" t="str">
        <x:v>Match result</x:v>
      </x:c>
    </x:row>
    <x:row r="5">
      <x:c r="A5" s="23" t="n">
        <x:v>1</x:v>
      </x:c>
      <x:c r="B5" s="24" t="d">
        <x:v>2026-07-06T00:00:00.000Z</x:v>
      </x:c>
      <x:c r="C5" s="23" t="str">
        <x:v>A</x:v>
      </x:c>
      <x:c r="D5" s="23" t="str">
        <x:v>Delta Electronics Inc.</x:v>
      </x:c>
      <x:c r="E5" s="23" t="str">
        <x:v>DELTA ELECTRONICS INC</x:v>
      </x:c>
      <x:c r="F5" s="23" t="str">
        <x:v>BUY</x:v>
      </x:c>
      <x:c r="G5" s="25" t="n">
        <x:v>88</x:v>
      </x:c>
      <x:c r="H5" s="24" t="d">
        <x:v>2026-07-06T00:00:00.000Z</x:v>
      </x:c>
      <x:c r="I5" s="23" t="str">
        <x:v>DELTA ELECTRONICS INC</x:v>
      </x:c>
      <x:c r="J5" s="23" t="str">
        <x:v>BUY</x:v>
      </x:c>
      <x:c r="K5" s="25" t="n">
        <x:v>869</x:v>
      </x:c>
      <x:c r="L5" s="25" t="n">
        <x:f>IF(OR(B5="",H5=""),"",ABS(H5-B5))</x:f>
        <x:v>0</x:v>
      </x:c>
      <x:c r="M5" s="25" t="n">
        <x:f>IF(OR(G5="",K5=""),"",K5-G5)</x:f>
        <x:v>781</x:v>
      </x:c>
      <x:c r="N5" s="23" t="str">
        <x:f>IF(H5="","No same-side Leonteq candidate",IF(AND(L5=0,M5=0),"Exact date + quantity",IF(M5=0,"Exact quantity; different date",IF(L5=0,"Same date; quantity differs","Closest same-side candidate; review"))))</x:f>
        <x:v>Same date; quantity differs</x:v>
      </x:c>
    </x:row>
    <x:row r="6">
      <x:c r="A6" s="23" t="n">
        <x:v>2</x:v>
      </x:c>
      <x:c r="B6" s="24" t="d">
        <x:v>2026-07-06T00:00:00.000Z</x:v>
      </x:c>
      <x:c r="C6" s="23" t="str">
        <x:v>A</x:v>
      </x:c>
      <x:c r="D6" s="23" t="str">
        <x:v>Toyota</x:v>
      </x:c>
      <x:c r="E6" s="23" t="str">
        <x:v>TOYOTA MOTOR CORP-REG</x:v>
      </x:c>
      <x:c r="F6" s="23" t="str">
        <x:v>BUY</x:v>
      </x:c>
      <x:c r="G6" s="25" t="n">
        <x:v>3262</x:v>
      </x:c>
      <x:c r="H6" s="24" t="d">
        <x:v>2026-07-06T00:00:00.000Z</x:v>
      </x:c>
      <x:c r="I6" s="23" t="str">
        <x:v>TOYOTA MOTOR CORP-REG</x:v>
      </x:c>
      <x:c r="J6" s="23" t="str">
        <x:v>BUY</x:v>
      </x:c>
      <x:c r="K6" s="25" t="n">
        <x:v>3007</x:v>
      </x:c>
      <x:c r="L6" s="25" t="n">
        <x:f>IF(OR(B6="",H6=""),"",ABS(H6-B6))</x:f>
        <x:v>0</x:v>
      </x:c>
      <x:c r="M6" s="25" t="n">
        <x:f>IF(OR(G6="",K6=""),"",K6-G6)</x:f>
        <x:v>-255</x:v>
      </x:c>
      <x:c r="N6" s="23" t="str">
        <x:f>IF(H6="","No same-side Leonteq candidate",IF(AND(L6=0,M6=0),"Exact date + quantity",IF(M6=0,"Exact quantity; different date",IF(L6=0,"Same date; quantity differs","Closest same-side candidate; review"))))</x:f>
        <x:v>Same date; quantity differs</x:v>
      </x:c>
    </x:row>
    <x:row r="7">
      <x:c r="A7" s="23" t="n">
        <x:v>3</x:v>
      </x:c>
      <x:c r="B7" s="24" t="d">
        <x:v>2026-07-06T00:00:00.000Z</x:v>
      </x:c>
      <x:c r="C7" s="23" t="str">
        <x:v>A</x:v>
      </x:c>
      <x:c r="D7" s="23" t="str">
        <x:v>Tokyo Electron</x:v>
      </x:c>
      <x:c r="E7" s="23" t="str">
        <x:v>TOKYO ELECTRON LTD</x:v>
      </x:c>
      <x:c r="F7" s="23" t="str">
        <x:v>BUY</x:v>
      </x:c>
      <x:c r="G7" s="25" t="n">
        <x:v>88</x:v>
      </x:c>
      <x:c r="H7" s="24" t="d">
        <x:v>2026-07-06T00:00:00.000Z</x:v>
      </x:c>
      <x:c r="I7" s="23" t="str">
        <x:v>TOKYO ELECTRON LTD</x:v>
      </x:c>
      <x:c r="J7" s="23" t="str">
        <x:v>BUY</x:v>
      </x:c>
      <x:c r="K7" s="25" t="n">
        <x:v>85</x:v>
      </x:c>
      <x:c r="L7" s="25" t="n">
        <x:f>IF(OR(B7="",H7=""),"",ABS(H7-B7))</x:f>
        <x:v>0</x:v>
      </x:c>
      <x:c r="M7" s="25" t="n">
        <x:f>IF(OR(G7="",K7=""),"",K7-G7)</x:f>
        <x:v>-3</x:v>
      </x:c>
      <x:c r="N7" s="23" t="str">
        <x:f>IF(H7="","No same-side Leonteq candidate",IF(AND(L7=0,M7=0),"Exact date + quantity",IF(M7=0,"Exact quantity; different date",IF(L7=0,"Same date; quantity differs","Closest same-side candidate; review"))))</x:f>
        <x:v>Same date; quantity differs</x:v>
      </x:c>
    </x:row>
    <x:row r="8">
      <x:c r="A8" s="23" t="n">
        <x:v>4</x:v>
      </x:c>
      <x:c r="B8" s="24" t="d">
        <x:v>2026-07-06T00:00:00.000Z</x:v>
      </x:c>
      <x:c r="C8" s="23" t="str">
        <x:v>A</x:v>
      </x:c>
      <x:c r="D8" s="23" t="str">
        <x:v>Tencent Holdings Ltd.</x:v>
      </x:c>
      <x:c r="E8" s="23" t="str">
        <x:v>TENCENT HOLDINGS LTD</x:v>
      </x:c>
      <x:c r="F8" s="23" t="str">
        <x:v>BUY</x:v>
      </x:c>
      <x:c r="G8" s="25" t="n">
        <x:v>1354</x:v>
      </x:c>
      <x:c r="H8" s="24" t="d">
        <x:v>2026-07-06T00:00:00.000Z</x:v>
      </x:c>
      <x:c r="I8" s="23" t="str">
        <x:v>TENCENT HOLDINGS LTD</x:v>
      </x:c>
      <x:c r="J8" s="23" t="str">
        <x:v>BUY</x:v>
      </x:c>
      <x:c r="K8" s="25" t="n">
        <x:v>1222</x:v>
      </x:c>
      <x:c r="L8" s="25" t="n">
        <x:f>IF(OR(B8="",H8=""),"",ABS(H8-B8))</x:f>
        <x:v>0</x:v>
      </x:c>
      <x:c r="M8" s="25" t="n">
        <x:f>IF(OR(G8="",K8=""),"",K8-G8)</x:f>
        <x:v>-132</x:v>
      </x:c>
      <x:c r="N8" s="23" t="str">
        <x:f>IF(H8="","No same-side Leonteq candidate",IF(AND(L8=0,M8=0),"Exact date + quantity",IF(M8=0,"Exact quantity; different date",IF(L8=0,"Same date; quantity differs","Closest same-side candidate; review"))))</x:f>
        <x:v>Same date; quantity differs</x:v>
      </x:c>
    </x:row>
    <x:row r="9">
      <x:c r="A9" s="23" t="n">
        <x:v>5</x:v>
      </x:c>
      <x:c r="B9" s="24" t="d">
        <x:v>2026-07-06T00:00:00.000Z</x:v>
      </x:c>
      <x:c r="C9" s="23" t="str">
        <x:v>A</x:v>
      </x:c>
      <x:c r="D9" s="23" t="str">
        <x:v>Tokio Marine</x:v>
      </x:c>
      <x:c r="E9" s="23" t="str">
        <x:v>TOKIO MARINE HOLDINGS INC</x:v>
      </x:c>
      <x:c r="F9" s="23" t="str">
        <x:v>BUY</x:v>
      </x:c>
      <x:c r="G9" s="25" t="n">
        <x:v>1216</x:v>
      </x:c>
      <x:c r="H9" s="24" t="d">
        <x:v>2026-07-06T00:00:00.000Z</x:v>
      </x:c>
      <x:c r="I9" s="23" t="str">
        <x:v>TOKIO MARINE HOLDINGS INC</x:v>
      </x:c>
      <x:c r="J9" s="23" t="str">
        <x:v>BUY</x:v>
      </x:c>
      <x:c r="K9" s="25" t="n">
        <x:v>1126</x:v>
      </x:c>
      <x:c r="L9" s="25" t="n">
        <x:f>IF(OR(B9="",H9=""),"",ABS(H9-B9))</x:f>
        <x:v>0</x:v>
      </x:c>
      <x:c r="M9" s="25" t="n">
        <x:f>IF(OR(G9="",K9=""),"",K9-G9)</x:f>
        <x:v>-90</x:v>
      </x:c>
      <x:c r="N9" s="23" t="str">
        <x:f>IF(H9="","No same-side Leonteq candidate",IF(AND(L9=0,M9=0),"Exact date + quantity",IF(M9=0,"Exact quantity; different date",IF(L9=0,"Same date; quantity differs","Closest same-side candidate; review"))))</x:f>
        <x:v>Same date; quantity differs</x:v>
      </x:c>
    </x:row>
    <x:row r="10">
      <x:c r="A10" s="23" t="n">
        <x:v>6</x:v>
      </x:c>
      <x:c r="B10" s="24" t="d">
        <x:v>2026-07-06T00:00:00.000Z</x:v>
      </x:c>
      <x:c r="C10" s="23" t="str">
        <x:v>A</x:v>
      </x:c>
      <x:c r="D10" s="23" t="str">
        <x:v>Taiwan Semiconductor Manufact.</x:v>
      </x:c>
      <x:c r="E10" s="23" t="str">
        <x:v>TAIWAN SEMICONDUCTOR MANUFACTURING CO</x:v>
      </x:c>
      <x:c r="F10" s="23" t="str">
        <x:v>BUY</x:v>
      </x:c>
      <x:c r="G10" s="25" t="n">
        <x:v>105</x:v>
      </x:c>
      <x:c r="H10" s="24" t="d">
        <x:v>2026-07-06T00:00:00.000Z</x:v>
      </x:c>
      <x:c r="I10" s="23" t="str">
        <x:v>TAIWAN SEMICONDUCTOR MANUFACTURING CO</x:v>
      </x:c>
      <x:c r="J10" s="23" t="str">
        <x:v>BUY</x:v>
      </x:c>
      <x:c r="K10" s="25" t="n">
        <x:v>987</x:v>
      </x:c>
      <x:c r="L10" s="25" t="n">
        <x:f>IF(OR(B10="",H10=""),"",ABS(H10-B10))</x:f>
        <x:v>0</x:v>
      </x:c>
      <x:c r="M10" s="25" t="n">
        <x:f>IF(OR(G10="",K10=""),"",K10-G10)</x:f>
        <x:v>882</x:v>
      </x:c>
      <x:c r="N10" s="23" t="str">
        <x:f>IF(H10="","No same-side Leonteq candidate",IF(AND(L10=0,M10=0),"Exact date + quantity",IF(M10=0,"Exact quantity; different date",IF(L10=0,"Same date; quantity differs","Closest same-side candidate; review"))))</x:f>
        <x:v>Same date; quantity differs</x:v>
      </x:c>
    </x:row>
    <x:row r="11">
      <x:c r="A11" s="23" t="n">
        <x:v>7</x:v>
      </x:c>
      <x:c r="B11" s="24" t="d">
        <x:v>2026-07-06T00:00:00.000Z</x:v>
      </x:c>
      <x:c r="C11" s="23" t="str">
        <x:v>A</x:v>
      </x:c>
      <x:c r="D11" s="23" t="str">
        <x:v>Sony</x:v>
      </x:c>
      <x:c r="E11" s="23" t="str">
        <x:v>SONY GROUP CORP</x:v>
      </x:c>
      <x:c r="F11" s="23" t="str">
        <x:v>BUY</x:v>
      </x:c>
      <x:c r="G11" s="25" t="n">
        <x:v>1637</x:v>
      </x:c>
      <x:c r="H11" s="24" t="d">
        <x:v>2026-07-06T00:00:00.000Z</x:v>
      </x:c>
      <x:c r="I11" s="23" t="str">
        <x:v>SONY GROUP CORP</x:v>
      </x:c>
      <x:c r="J11" s="23" t="str">
        <x:v>BUY</x:v>
      </x:c>
      <x:c r="K11" s="25" t="n">
        <x:v>1544</x:v>
      </x:c>
      <x:c r="L11" s="25" t="n">
        <x:f>IF(OR(B11="",H11=""),"",ABS(H11-B11))</x:f>
        <x:v>0</x:v>
      </x:c>
      <x:c r="M11" s="25" t="n">
        <x:f>IF(OR(G11="",K11=""),"",K11-G11)</x:f>
        <x:v>-93</x:v>
      </x:c>
      <x:c r="N11" s="23" t="str">
        <x:f>IF(H11="","No same-side Leonteq candidate",IF(AND(L11=0,M11=0),"Exact date + quantity",IF(M11=0,"Exact quantity; different date",IF(L11=0,"Same date; quantity differs","Closest same-side candidate; review"))))</x:f>
        <x:v>Same date; quantity differs</x:v>
      </x:c>
    </x:row>
    <x:row r="12">
      <x:c r="A12" s="23" t="n">
        <x:v>8</x:v>
      </x:c>
      <x:c r="B12" s="24" t="d">
        <x:v>2026-07-06T00:00:00.000Z</x:v>
      </x:c>
      <x:c r="C12" s="23" t="str">
        <x:v>A</x:v>
      </x:c>
      <x:c r="D12" s="23" t="str">
        <x:v>MercadoLibre</x:v>
      </x:c>
      <x:c r="E12" s="23" t="str">
        <x:v>MERCADOLIBRE INC</x:v>
      </x:c>
      <x:c r="F12" s="23" t="str">
        <x:v>BUY</x:v>
      </x:c>
      <x:c r="G12" s="25" t="n">
        <x:v>26</x:v>
      </x:c>
      <x:c r="H12" s="24" t="d">
        <x:v>2026-07-06T00:00:00.000Z</x:v>
      </x:c>
      <x:c r="I12" s="23" t="str">
        <x:v>MERCADOLIBRE INC</x:v>
      </x:c>
      <x:c r="J12" s="23" t="str">
        <x:v>BUY</x:v>
      </x:c>
      <x:c r="K12" s="25" t="n">
        <x:v>25</x:v>
      </x:c>
      <x:c r="L12" s="25" t="n">
        <x:f>IF(OR(B12="",H12=""),"",ABS(H12-B12))</x:f>
        <x:v>0</x:v>
      </x:c>
      <x:c r="M12" s="25" t="n">
        <x:f>IF(OR(G12="",K12=""),"",K12-G12)</x:f>
        <x:v>-1</x:v>
      </x:c>
      <x:c r="N12" s="23" t="str">
        <x:f>IF(H12="","No same-side Leonteq candidate",IF(AND(L12=0,M12=0),"Exact date + quantity",IF(M12=0,"Exact quantity; different date",IF(L12=0,"Same date; quantity differs","Closest same-side candidate; review"))))</x:f>
        <x:v>Same date; quantity differs</x:v>
      </x:c>
    </x:row>
    <x:row r="13">
      <x:c r="A13" s="23" t="n">
        <x:v>9</x:v>
      </x:c>
      <x:c r="B13" s="24" t="d">
        <x:v>2026-07-06T00:00:00.000Z</x:v>
      </x:c>
      <x:c r="C13" s="23" t="str">
        <x:v>A</x:v>
      </x:c>
      <x:c r="D13" s="23" t="str">
        <x:v>Mitsui Kinzoku Co Ltd</x:v>
      </x:c>
      <x:c r="E13" s="23" t="str">
        <x:v>MITSUI MINING SMELTING CO</x:v>
      </x:c>
      <x:c r="F13" s="23" t="str">
        <x:v>BUY</x:v>
      </x:c>
      <x:c r="G13" s="25" t="n">
        <x:v>214</x:v>
      </x:c>
      <x:c r="H13" s="24" t="d">
        <x:v>2026-07-06T00:00:00.000Z</x:v>
      </x:c>
      <x:c r="I13" s="23" t="str">
        <x:v>MITSUI MINING SMELTING CO</x:v>
      </x:c>
      <x:c r="J13" s="23" t="str">
        <x:v>BUY</x:v>
      </x:c>
      <x:c r="K13" s="25" t="n">
        <x:v>211</x:v>
      </x:c>
      <x:c r="L13" s="25" t="n">
        <x:f>IF(OR(B13="",H13=""),"",ABS(H13-B13))</x:f>
        <x:v>0</x:v>
      </x:c>
      <x:c r="M13" s="25" t="n">
        <x:f>IF(OR(G13="",K13=""),"",K13-G13)</x:f>
        <x:v>-3</x:v>
      </x:c>
      <x:c r="N13" s="23" t="str">
        <x:f>IF(H13="","No same-side Leonteq candidate",IF(AND(L13=0,M13=0),"Exact date + quantity",IF(M13=0,"Exact quantity; different date",IF(L13=0,"Same date; quantity differs","Closest same-side candidate; review"))))</x:f>
        <x:v>Same date; quantity differs</x:v>
      </x:c>
    </x:row>
    <x:row r="14">
      <x:c r="A14" s="23" t="n">
        <x:v>10</x:v>
      </x:c>
      <x:c r="B14" s="24" t="d">
        <x:v>2026-07-06T00:00:00.000Z</x:v>
      </x:c>
      <x:c r="C14" s="23" t="str">
        <x:v>A</x:v>
      </x:c>
      <x:c r="D14" s="23" t="str">
        <x:v>Nestle India Ltd</x:v>
      </x:c>
      <x:c r="E14" s="23" t="str">
        <x:v>NESTLE INDIA LTD</x:v>
      </x:c>
      <x:c r="F14" s="23" t="str">
        <x:v>BUY</x:v>
      </x:c>
      <x:c r="G14" s="25" t="n">
        <x:v>3504</x:v>
      </x:c>
      <x:c r="H14" s="24"/>
      <x:c r="I14" s="23"/>
      <x:c r="J14" s="23"/>
      <x:c r="K14" s="25"/>
      <x:c r="L14" s="25" t="str">
        <x:f>IF(OR(B14="",H14=""),"",ABS(H14-B14))</x:f>
      </x:c>
      <x:c r="M14" s="25" t="str">
        <x:f>IF(OR(G14="",K14=""),"",K14-G14)</x:f>
      </x:c>
      <x:c r="N14" s="23" t="str">
        <x:f>IF(H14="","No same-side Leonteq candidate",IF(AND(L14=0,M14=0),"Exact date + quantity",IF(M14=0,"Exact quantity; different date",IF(L14=0,"Same date; quantity differs","Closest same-side candidate; review"))))</x:f>
        <x:v>No same-side Leonteq candidate</x:v>
      </x:c>
    </x:row>
    <x:row r="15">
      <x:c r="A15" s="23" t="n">
        <x:v>11</x:v>
      </x:c>
      <x:c r="B15" s="24" t="d">
        <x:v>2026-07-06T00:00:00.000Z</x:v>
      </x:c>
      <x:c r="C15" s="23" t="str">
        <x:v>A</x:v>
      </x:c>
      <x:c r="D15" s="23" t="str">
        <x:v>Nu Holdings Ltd Class A</x:v>
      </x:c>
      <x:c r="E15" s="23" t="str">
        <x:v>NU HOLDINGS LTD/CAYMAN ISL-A</x:v>
      </x:c>
      <x:c r="F15" s="23" t="str">
        <x:v>BUY</x:v>
      </x:c>
      <x:c r="G15" s="25" t="n">
        <x:v>2944</x:v>
      </x:c>
      <x:c r="H15" s="24" t="d">
        <x:v>2026-07-06T00:00:00.000Z</x:v>
      </x:c>
      <x:c r="I15" s="23" t="str">
        <x:v>NU HOLDINGS LTD/CAYMAN ISL-A</x:v>
      </x:c>
      <x:c r="J15" s="23" t="str">
        <x:v>BUY</x:v>
      </x:c>
      <x:c r="K15" s="25" t="n">
        <x:v>2819</x:v>
      </x:c>
      <x:c r="L15" s="25" t="n">
        <x:f>IF(OR(B15="",H15=""),"",ABS(H15-B15))</x:f>
        <x:v>0</x:v>
      </x:c>
      <x:c r="M15" s="25" t="n">
        <x:f>IF(OR(G15="",K15=""),"",K15-G15)</x:f>
        <x:v>-125</x:v>
      </x:c>
      <x:c r="N15" s="23" t="str">
        <x:f>IF(H15="","No same-side Leonteq candidate",IF(AND(L15=0,M15=0),"Exact date + quantity",IF(M15=0,"Exact quantity; different date",IF(L15=0,"Same date; quantity differs","Closest same-side candidate; review"))))</x:f>
        <x:v>Same date; quantity differs</x:v>
      </x:c>
    </x:row>
    <x:row r="16">
      <x:c r="A16" s="23" t="n">
        <x:v>12</x:v>
      </x:c>
      <x:c r="B16" s="24" t="d">
        <x:v>2026-07-06T00:00:00.000Z</x:v>
      </x:c>
      <x:c r="C16" s="23" t="str">
        <x:v>A</x:v>
      </x:c>
      <x:c r="D16" s="23" t="str">
        <x:v>Samsung Electronics</x:v>
      </x:c>
      <x:c r="E16" s="23" t="str">
        <x:v>SAMSUNG ELECTRONICS</x:v>
      </x:c>
      <x:c r="F16" s="23" t="str">
        <x:v>BUY</x:v>
      </x:c>
      <x:c r="G16" s="25" t="n">
        <x:v>340</x:v>
      </x:c>
      <x:c r="H16" s="24"/>
      <x:c r="I16" s="23"/>
      <x:c r="J16" s="23"/>
      <x:c r="K16" s="25"/>
      <x:c r="L16" s="25" t="str">
        <x:f>IF(OR(B16="",H16=""),"",ABS(H16-B16))</x:f>
      </x:c>
      <x:c r="M16" s="25" t="str">
        <x:f>IF(OR(G16="",K16=""),"",K16-G16)</x:f>
      </x:c>
      <x:c r="N16" s="23" t="str">
        <x:f>IF(H16="","No same-side Leonteq candidate",IF(AND(L16=0,M16=0),"Exact date + quantity",IF(M16=0,"Exact quantity; different date",IF(L16=0,"Same date; quantity differs","Closest same-side candidate; review"))))</x:f>
        <x:v>No same-side Leonteq candidate</x:v>
      </x:c>
    </x:row>
    <x:row r="17">
      <x:c r="A17" s="23" t="n">
        <x:v>13</x:v>
      </x:c>
      <x:c r="B17" s="24" t="d">
        <x:v>2026-07-06T00:00:00.000Z</x:v>
      </x:c>
      <x:c r="C17" s="23" t="str">
        <x:v>A</x:v>
      </x:c>
      <x:c r="D17" s="23" t="str">
        <x:v>SK Hynix Inc</x:v>
      </x:c>
      <x:c r="E17" s="23" t="str">
        <x:v>SK HYNIX INC</x:v>
      </x:c>
      <x:c r="F17" s="23" t="str">
        <x:v>BUY</x:v>
      </x:c>
      <x:c r="G17" s="25" t="n">
        <x:v>18</x:v>
      </x:c>
      <x:c r="H17" s="24"/>
      <x:c r="I17" s="23"/>
      <x:c r="J17" s="23"/>
      <x:c r="K17" s="25"/>
      <x:c r="L17" s="25" t="str">
        <x:f>IF(OR(B17="",H17=""),"",ABS(H17-B17))</x:f>
      </x:c>
      <x:c r="M17" s="25" t="str">
        <x:f>IF(OR(G17="",K17=""),"",K17-G17)</x:f>
      </x:c>
      <x:c r="N17" s="23" t="str">
        <x:f>IF(H17="","No same-side Leonteq candidate",IF(AND(L17=0,M17=0),"Exact date + quantity",IF(M17=0,"Exact quantity; different date",IF(L17=0,"Same date; quantity differs","Closest same-side candidate; review"))))</x:f>
        <x:v>No same-side Leonteq candidate</x:v>
      </x:c>
    </x:row>
    <x:row r="18">
      <x:c r="A18" s="23" t="n">
        <x:v>14</x:v>
      </x:c>
      <x:c r="B18" s="24" t="d">
        <x:v>2026-07-06T00:00:00.000Z</x:v>
      </x:c>
      <x:c r="C18" s="23" t="str">
        <x:v>A</x:v>
      </x:c>
      <x:c r="D18" s="23" t="str">
        <x:v>MediaTek Inc.</x:v>
      </x:c>
      <x:c r="E18" s="23" t="str">
        <x:v>MEDIATEK INC</x:v>
      </x:c>
      <x:c r="F18" s="23" t="str">
        <x:v>BUY</x:v>
      </x:c>
      <x:c r="G18" s="25" t="n">
        <x:v>29</x:v>
      </x:c>
      <x:c r="H18" s="24" t="d">
        <x:v>2026-07-06T00:00:00.000Z</x:v>
      </x:c>
      <x:c r="I18" s="23" t="str">
        <x:v>MEDIATEK INC</x:v>
      </x:c>
      <x:c r="J18" s="23" t="str">
        <x:v>BUY</x:v>
      </x:c>
      <x:c r="K18" s="25" t="n">
        <x:v>295</x:v>
      </x:c>
      <x:c r="L18" s="25" t="n">
        <x:f>IF(OR(B18="",H18=""),"",ABS(H18-B18))</x:f>
        <x:v>0</x:v>
      </x:c>
      <x:c r="M18" s="25" t="n">
        <x:f>IF(OR(G18="",K18=""),"",K18-G18)</x:f>
        <x:v>266</x:v>
      </x:c>
      <x:c r="N18" s="23" t="str">
        <x:f>IF(H18="","No same-side Leonteq candidate",IF(AND(L18=0,M18=0),"Exact date + quantity",IF(M18=0,"Exact quantity; different date",IF(L18=0,"Same date; quantity differs","Closest same-side candidate; review"))))</x:f>
        <x:v>Same date; quantity differs</x:v>
      </x:c>
    </x:row>
    <x:row r="19">
      <x:c r="A19" s="23" t="n">
        <x:v>15</x:v>
      </x:c>
      <x:c r="B19" s="24" t="d">
        <x:v>2026-07-06T00:00:00.000Z</x:v>
      </x:c>
      <x:c r="C19" s="23" t="str">
        <x:v>A</x:v>
      </x:c>
      <x:c r="D19" s="23" t="str">
        <x:v>Larsen &amp; Toubro Limited</x:v>
      </x:c>
      <x:c r="E19" s="23" t="str">
        <x:v>LARSEN &amp; TOUBRO-GDR REG S</x:v>
      </x:c>
      <x:c r="F19" s="23" t="str">
        <x:v>BUY</x:v>
      </x:c>
      <x:c r="G19" s="25" t="n">
        <x:v>1298</x:v>
      </x:c>
      <x:c r="H19" s="24" t="d">
        <x:v>2026-07-06T00:00:00.000Z</x:v>
      </x:c>
      <x:c r="I19" s="23" t="str">
        <x:v>LARSEN &amp; TOUBRO-GDR REG S</x:v>
      </x:c>
      <x:c r="J19" s="23" t="str">
        <x:v>BUY</x:v>
      </x:c>
      <x:c r="K19" s="25" t="n">
        <x:v>1283</x:v>
      </x:c>
      <x:c r="L19" s="25" t="n">
        <x:f>IF(OR(B19="",H19=""),"",ABS(H19-B19))</x:f>
        <x:v>0</x:v>
      </x:c>
      <x:c r="M19" s="25" t="n">
        <x:f>IF(OR(G19="",K19=""),"",K19-G19)</x:f>
        <x:v>-15</x:v>
      </x:c>
      <x:c r="N19" s="23" t="str">
        <x:f>IF(H19="","No same-side Leonteq candidate",IF(AND(L19=0,M19=0),"Exact date + quantity",IF(M19=0,"Exact quantity; different date",IF(L19=0,"Same date; quantity differs","Closest same-side candidate; review"))))</x:f>
        <x:v>Same date; quantity differs</x:v>
      </x:c>
    </x:row>
    <x:row r="20">
      <x:c r="A20" s="23" t="n">
        <x:v>16</x:v>
      </x:c>
      <x:c r="B20" s="24" t="d">
        <x:v>2026-07-06T00:00:00.000Z</x:v>
      </x:c>
      <x:c r="C20" s="23" t="str">
        <x:v>A</x:v>
      </x:c>
      <x:c r="D20" s="23" t="str">
        <x:v>Keyence</x:v>
      </x:c>
      <x:c r="E20" s="23" t="str">
        <x:v>KEYENCE CORP</x:v>
      </x:c>
      <x:c r="F20" s="23" t="str">
        <x:v>BUY</x:v>
      </x:c>
      <x:c r="G20" s="25" t="n">
        <x:v>103</x:v>
      </x:c>
      <x:c r="H20" s="24" t="d">
        <x:v>2026-07-06T00:00:00.000Z</x:v>
      </x:c>
      <x:c r="I20" s="23" t="str">
        <x:v>KEYENCE CORP</x:v>
      </x:c>
      <x:c r="J20" s="23" t="str">
        <x:v>BUY</x:v>
      </x:c>
      <x:c r="K20" s="25" t="n">
        <x:v>97</x:v>
      </x:c>
      <x:c r="L20" s="25" t="n">
        <x:f>IF(OR(B20="",H20=""),"",ABS(H20-B20))</x:f>
        <x:v>0</x:v>
      </x:c>
      <x:c r="M20" s="25" t="n">
        <x:f>IF(OR(G20="",K20=""),"",K20-G20)</x:f>
        <x:v>-6</x:v>
      </x:c>
      <x:c r="N20" s="23" t="str">
        <x:f>IF(H20="","No same-side Leonteq candidate",IF(AND(L20=0,M20=0),"Exact date + quantity",IF(M20=0,"Exact quantity; different date",IF(L20=0,"Same date; quantity differs","Closest same-side candidate; review"))))</x:f>
        <x:v>Same date; quantity differs</x:v>
      </x:c>
    </x:row>
    <x:row r="21">
      <x:c r="A21" s="23" t="n">
        <x:v>17</x:v>
      </x:c>
      <x:c r="B21" s="24" t="d">
        <x:v>2026-07-06T00:00:00.000Z</x:v>
      </x:c>
      <x:c r="C21" s="23" t="str">
        <x:v>A</x:v>
      </x:c>
      <x:c r="D21" s="23" t="str">
        <x:v>HOYA Corporation</x:v>
      </x:c>
      <x:c r="E21" s="23" t="str">
        <x:v>HOYA CORP</x:v>
      </x:c>
      <x:c r="F21" s="23" t="str">
        <x:v>BUY</x:v>
      </x:c>
      <x:c r="G21" s="25" t="n">
        <x:v>410</x:v>
      </x:c>
      <x:c r="H21" s="24" t="d">
        <x:v>2026-07-06T00:00:00.000Z</x:v>
      </x:c>
      <x:c r="I21" s="23" t="str">
        <x:v>HOYA CORP</x:v>
      </x:c>
      <x:c r="J21" s="23" t="str">
        <x:v>BUY</x:v>
      </x:c>
      <x:c r="K21" s="25" t="n">
        <x:v>413</x:v>
      </x:c>
      <x:c r="L21" s="25" t="n">
        <x:f>IF(OR(B21="",H21=""),"",ABS(H21-B21))</x:f>
        <x:v>0</x:v>
      </x:c>
      <x:c r="M21" s="25" t="n">
        <x:f>IF(OR(G21="",K21=""),"",K21-G21)</x:f>
        <x:v>3</x:v>
      </x:c>
      <x:c r="N21" s="23" t="str">
        <x:f>IF(H21="","No same-side Leonteq candidate",IF(AND(L21=0,M21=0),"Exact date + quantity",IF(M21=0,"Exact quantity; different date",IF(L21=0,"Same date; quantity differs","Closest same-side candidate; review"))))</x:f>
        <x:v>Same date; quantity differs</x:v>
      </x:c>
    </x:row>
    <x:row r="22">
      <x:c r="A22" s="23" t="n">
        <x:v>18</x:v>
      </x:c>
      <x:c r="B22" s="24" t="d">
        <x:v>2026-07-06T00:00:00.000Z</x:v>
      </x:c>
      <x:c r="C22" s="23" t="str">
        <x:v>A</x:v>
      </x:c>
      <x:c r="D22" s="23" t="str">
        <x:v>Hitachi</x:v>
      </x:c>
      <x:c r="E22" s="23" t="str">
        <x:v>HITACHI LTD</x:v>
      </x:c>
      <x:c r="F22" s="23" t="str">
        <x:v>BUY</x:v>
      </x:c>
      <x:c r="G22" s="25" t="n">
        <x:v>2199</x:v>
      </x:c>
      <x:c r="H22" s="24" t="d">
        <x:v>2026-07-06T00:00:00.000Z</x:v>
      </x:c>
      <x:c r="I22" s="23" t="str">
        <x:v>HITACHI LTD</x:v>
      </x:c>
      <x:c r="J22" s="23" t="str">
        <x:v>BUY</x:v>
      </x:c>
      <x:c r="K22" s="25" t="n">
        <x:v>2012</x:v>
      </x:c>
      <x:c r="L22" s="25" t="n">
        <x:f>IF(OR(B22="",H22=""),"",ABS(H22-B22))</x:f>
        <x:v>0</x:v>
      </x:c>
      <x:c r="M22" s="25" t="n">
        <x:f>IF(OR(G22="",K22=""),"",K22-G22)</x:f>
        <x:v>-187</x:v>
      </x:c>
      <x:c r="N22" s="23" t="str">
        <x:f>IF(H22="","No same-side Leonteq candidate",IF(AND(L22=0,M22=0),"Exact date + quantity",IF(M22=0,"Exact quantity; different date",IF(L22=0,"Same date; quantity differs","Closest same-side candidate; review"))))</x:f>
        <x:v>Same date; quantity differs</x:v>
      </x:c>
    </x:row>
    <x:row r="23">
      <x:c r="A23" s="23" t="n">
        <x:v>19</x:v>
      </x:c>
      <x:c r="B23" s="24" t="d">
        <x:v>2026-07-06T00:00:00.000Z</x:v>
      </x:c>
      <x:c r="C23" s="23" t="str">
        <x:v>A</x:v>
      </x:c>
      <x:c r="D23" s="23" t="str">
        <x:v>HDFC Bank</x:v>
      </x:c>
      <x:c r="E23" s="23" t="str">
        <x:v>HDFC BANK LTD-ADR</x:v>
      </x:c>
      <x:c r="F23" s="23" t="str">
        <x:v>BUY</x:v>
      </x:c>
      <x:c r="G23" s="25" t="n">
        <x:v>6124</x:v>
      </x:c>
      <x:c r="H23" s="24" t="d">
        <x:v>2026-07-06T00:00:00.000Z</x:v>
      </x:c>
      <x:c r="I23" s="23" t="str">
        <x:v>HDFC BANK LTD-ADR</x:v>
      </x:c>
      <x:c r="J23" s="23" t="str">
        <x:v>BUY</x:v>
      </x:c>
      <x:c r="K23" s="25" t="n">
        <x:v>1791</x:v>
      </x:c>
      <x:c r="L23" s="25" t="n">
        <x:f>IF(OR(B23="",H23=""),"",ABS(H23-B23))</x:f>
        <x:v>0</x:v>
      </x:c>
      <x:c r="M23" s="25" t="n">
        <x:f>IF(OR(G23="",K23=""),"",K23-G23)</x:f>
        <x:v>-4333</x:v>
      </x:c>
      <x:c r="N23" s="23" t="str">
        <x:f>IF(H23="","No same-side Leonteq candidate",IF(AND(L23=0,M23=0),"Exact date + quantity",IF(M23=0,"Exact quantity; different date",IF(L23=0,"Same date; quantity differs","Closest same-side candidate; review"))))</x:f>
        <x:v>Same date; quantity differs</x:v>
      </x:c>
    </x:row>
    <x:row r="24">
      <x:c r="A24" s="23" t="n">
        <x:v>20</x:v>
      </x:c>
      <x:c r="B24" s="24" t="d">
        <x:v>2026-07-06T00:00:00.000Z</x:v>
      </x:c>
      <x:c r="C24" s="23" t="str">
        <x:v>A</x:v>
      </x:c>
      <x:c r="D24" s="23" t="str">
        <x:v>Aia Group Ltd</x:v>
      </x:c>
      <x:c r="E24" s="23" t="str">
        <x:v>AIA GROUP LTD</x:v>
      </x:c>
      <x:c r="F24" s="23" t="str">
        <x:v>BUY</x:v>
      </x:c>
      <x:c r="G24" s="25" t="n">
        <x:v>6742</x:v>
      </x:c>
      <x:c r="H24" s="24" t="d">
        <x:v>2026-07-06T00:00:00.000Z</x:v>
      </x:c>
      <x:c r="I24" s="23" t="str">
        <x:v>AIA GROUP LTD</x:v>
      </x:c>
      <x:c r="J24" s="23" t="str">
        <x:v>BUY</x:v>
      </x:c>
      <x:c r="K24" s="25" t="n">
        <x:v>6316</x:v>
      </x:c>
      <x:c r="L24" s="25" t="n">
        <x:f>IF(OR(B24="",H24=""),"",ABS(H24-B24))</x:f>
        <x:v>0</x:v>
      </x:c>
      <x:c r="M24" s="25" t="n">
        <x:f>IF(OR(G24="",K24=""),"",K24-G24)</x:f>
        <x:v>-426</x:v>
      </x:c>
      <x:c r="N24" s="23" t="str">
        <x:f>IF(H24="","No same-side Leonteq candidate",IF(AND(L24=0,M24=0),"Exact date + quantity",IF(M24=0,"Exact quantity; different date",IF(L24=0,"Same date; quantity differs","Closest same-side candidate; review"))))</x:f>
        <x:v>Same date; quantity differs</x:v>
      </x:c>
    </x:row>
    <x:row r="25">
      <x:c r="A25" s="23" t="n">
        <x:v>21</x:v>
      </x:c>
      <x:c r="B25" s="24" t="d">
        <x:v>2026-07-06T00:00:00.000Z</x:v>
      </x:c>
      <x:c r="C25" s="23" t="str">
        <x:v>A</x:v>
      </x:c>
      <x:c r="D25" s="23" t="str">
        <x:v>Alibaba</x:v>
      </x:c>
      <x:c r="E25" s="23" t="str">
        <x:v>ALIBABA GROUP HOLDING LTD</x:v>
      </x:c>
      <x:c r="F25" s="23" t="str">
        <x:v>BUY</x:v>
      </x:c>
      <x:c r="G25" s="25" t="n">
        <x:v>2386</x:v>
      </x:c>
      <x:c r="H25" s="24" t="d">
        <x:v>2026-07-06T00:00:00.000Z</x:v>
      </x:c>
      <x:c r="I25" s="23" t="str">
        <x:v>ALIBABA GROUP HOLDING LTD</x:v>
      </x:c>
      <x:c r="J25" s="23" t="str">
        <x:v>BUY</x:v>
      </x:c>
      <x:c r="K25" s="25" t="n">
        <x:v>2218</x:v>
      </x:c>
      <x:c r="L25" s="25" t="n">
        <x:f>IF(OR(B25="",H25=""),"",ABS(H25-B25))</x:f>
        <x:v>0</x:v>
      </x:c>
      <x:c r="M25" s="25" t="n">
        <x:f>IF(OR(G25="",K25=""),"",K25-G25)</x:f>
        <x:v>-168</x:v>
      </x:c>
      <x:c r="N25" s="23" t="str">
        <x:f>IF(H25="","No same-side Leonteq candidate",IF(AND(L25=0,M25=0),"Exact date + quantity",IF(M25=0,"Exact quantity; different date",IF(L25=0,"Same date; quantity differs","Closest same-side candidate; review"))))</x:f>
        <x:v>Same date; quantity differs</x:v>
      </x:c>
    </x:row>
    <x:row r="26">
      <x:c r="A26" s="23" t="n">
        <x:v>22</x:v>
      </x:c>
      <x:c r="B26" s="24" t="d">
        <x:v>2026-07-06T00:00:00.000Z</x:v>
      </x:c>
      <x:c r="C26" s="23" t="str">
        <x:v>A</x:v>
      </x:c>
      <x:c r="D26" s="23" t="str">
        <x:v>Baidu</x:v>
      </x:c>
      <x:c r="E26" s="23" t="str">
        <x:v>BAIDU INC-CLASS A</x:v>
      </x:c>
      <x:c r="F26" s="23" t="str">
        <x:v>BUY</x:v>
      </x:c>
      <x:c r="G26" s="25" t="n">
        <x:v>2024</x:v>
      </x:c>
      <x:c r="H26" s="24" t="d">
        <x:v>2026-07-06T00:00:00.000Z</x:v>
      </x:c>
      <x:c r="I26" s="23" t="str">
        <x:v>BAIDU INC-CLASS A</x:v>
      </x:c>
      <x:c r="J26" s="23" t="str">
        <x:v>BUY</x:v>
      </x:c>
      <x:c r="K26" s="25" t="n">
        <x:v>1926</x:v>
      </x:c>
      <x:c r="L26" s="25" t="n">
        <x:f>IF(OR(B26="",H26=""),"",ABS(H26-B26))</x:f>
        <x:v>0</x:v>
      </x:c>
      <x:c r="M26" s="25" t="n">
        <x:f>IF(OR(G26="",K26=""),"",K26-G26)</x:f>
        <x:v>-98</x:v>
      </x:c>
      <x:c r="N26" s="23" t="str">
        <x:f>IF(H26="","No same-side Leonteq candidate",IF(AND(L26=0,M26=0),"Exact date + quantity",IF(M26=0,"Exact quantity; different date",IF(L26=0,"Same date; quantity differs","Closest same-side candidate; review"))))</x:f>
        <x:v>Same date; quantity differs</x:v>
      </x:c>
    </x:row>
    <x:row r="27">
      <x:c r="A27" s="23" t="n">
        <x:v>23</x:v>
      </x:c>
      <x:c r="B27" s="24" t="d">
        <x:v>2026-08-04T00:00:00.000Z</x:v>
      </x:c>
      <x:c r="C27" s="23" t="str">
        <x:v>A</x:v>
      </x:c>
      <x:c r="D27" s="23" t="str">
        <x:v>Alibaba</x:v>
      </x:c>
      <x:c r="E27" s="23" t="str">
        <x:v>ALIBABA GROUP HOLDING LTD</x:v>
      </x:c>
      <x:c r="F27" s="23" t="str">
        <x:v>BUY</x:v>
      </x:c>
      <x:c r="G27" s="25" t="n">
        <x:v>1994</x:v>
      </x:c>
      <x:c r="H27" s="24" t="d">
        <x:v>2026-08-04T00:00:00.000Z</x:v>
      </x:c>
      <x:c r="I27" s="23" t="str">
        <x:v>ALIBABA GROUP HOLDING LTD</x:v>
      </x:c>
      <x:c r="J27" s="23" t="str">
        <x:v>BUY</x:v>
      </x:c>
      <x:c r="K27" s="25" t="n">
        <x:v>965</x:v>
      </x:c>
      <x:c r="L27" s="25" t="n">
        <x:f>IF(OR(B27="",H27=""),"",ABS(H27-B27))</x:f>
        <x:v>0</x:v>
      </x:c>
      <x:c r="M27" s="25" t="n">
        <x:f>IF(OR(G27="",K27=""),"",K27-G27)</x:f>
        <x:v>-1029</x:v>
      </x:c>
      <x:c r="N27" s="23" t="str">
        <x:f>IF(H27="","No same-side Leonteq candidate",IF(AND(L27=0,M27=0),"Exact date + quantity",IF(M27=0,"Exact quantity; different date",IF(L27=0,"Same date; quantity differs","Closest same-side candidate; review"))))</x:f>
        <x:v>Same date; quantity differs</x:v>
      </x:c>
    </x:row>
    <x:row r="28">
      <x:c r="A28" s="23" t="n">
        <x:v>24</x:v>
      </x:c>
      <x:c r="B28" s="24" t="d">
        <x:v>2026-08-04T00:00:00.000Z</x:v>
      </x:c>
      <x:c r="C28" s="23" t="str">
        <x:v>V</x:v>
      </x:c>
      <x:c r="D28" s="23" t="str">
        <x:v>Aia Group Ltd</x:v>
      </x:c>
      <x:c r="E28" s="23" t="str">
        <x:v>AIA GROUP LTD</x:v>
      </x:c>
      <x:c r="F28" s="23" t="str">
        <x:v>SELL</x:v>
      </x:c>
      <x:c r="G28" s="25" t="n">
        <x:v>687</x:v>
      </x:c>
      <x:c r="H28" s="24" t="d">
        <x:v>2026-08-31T00:00:00.000Z</x:v>
      </x:c>
      <x:c r="I28" s="23" t="str">
        <x:v>AIA GROUP LTD</x:v>
      </x:c>
      <x:c r="J28" s="23" t="str">
        <x:v>SELL</x:v>
      </x:c>
      <x:c r="K28" s="25" t="n">
        <x:v>100</x:v>
      </x:c>
      <x:c r="L28" s="25" t="n">
        <x:f>IF(OR(B28="",H28=""),"",ABS(H28-B28))</x:f>
        <x:v>27</x:v>
      </x:c>
      <x:c r="M28" s="25" t="n">
        <x:f>IF(OR(G28="",K28=""),"",K28-G28)</x:f>
        <x:v>-587</x:v>
      </x:c>
      <x:c r="N28" s="23" t="str">
        <x:f>IF(H28="","No same-side Leonteq candidate",IF(AND(L28=0,M28=0),"Exact date + quantity",IF(M28=0,"Exact quantity; different date",IF(L28=0,"Same date; quantity differs","Closest same-side candidate; review"))))</x:f>
        <x:v>Closest same-side candidate; review</x:v>
      </x:c>
    </x:row>
    <x:row r="29">
      <x:c r="A29" s="23" t="n">
        <x:v>25</x:v>
      </x:c>
      <x:c r="B29" s="24" t="d">
        <x:v>2026-08-04T00:00:00.000Z</x:v>
      </x:c>
      <x:c r="C29" s="23" t="str">
        <x:v>V</x:v>
      </x:c>
      <x:c r="D29" s="23" t="str">
        <x:v>Mitsui Kinzoku Co Ltd</x:v>
      </x:c>
      <x:c r="E29" s="23" t="str">
        <x:v>MITSUI MINING SMELTING CO</x:v>
      </x:c>
      <x:c r="F29" s="23" t="str">
        <x:v>SELL</x:v>
      </x:c>
      <x:c r="G29" s="25" t="n">
        <x:v>214</x:v>
      </x:c>
      <x:c r="H29" s="24" t="d">
        <x:v>2026-07-09T00:00:00.000Z</x:v>
      </x:c>
      <x:c r="I29" s="23" t="str">
        <x:v>MITSUI MINING SMELTING CO</x:v>
      </x:c>
      <x:c r="J29" s="23" t="str">
        <x:v>SELL</x:v>
      </x:c>
      <x:c r="K29" s="25" t="n">
        <x:v>200</x:v>
      </x:c>
      <x:c r="L29" s="25" t="n">
        <x:f>IF(OR(B29="",H29=""),"",ABS(H29-B29))</x:f>
        <x:v>26</x:v>
      </x:c>
      <x:c r="M29" s="25" t="n">
        <x:f>IF(OR(G29="",K29=""),"",K29-G29)</x:f>
        <x:v>-14</x:v>
      </x:c>
      <x:c r="N29" s="23" t="str">
        <x:f>IF(H29="","No same-side Leonteq candidate",IF(AND(L29=0,M29=0),"Exact date + quantity",IF(M29=0,"Exact quantity; different date",IF(L29=0,"Same date; quantity differs","Closest same-side candidate; review"))))</x:f>
        <x:v>Closest same-side candidate; review</x:v>
      </x:c>
    </x:row>
    <x:row r="30">
      <x:c r="A30" s="23" t="n">
        <x:v>26</x:v>
      </x:c>
      <x:c r="B30" s="24" t="d">
        <x:v>2026-08-04T00:00:00.000Z</x:v>
      </x:c>
      <x:c r="C30" s="23" t="str">
        <x:v>V</x:v>
      </x:c>
      <x:c r="D30" s="23" t="str">
        <x:v>Tokio Marine</x:v>
      </x:c>
      <x:c r="E30" s="23" t="str">
        <x:v>TOKIO MARINE HOLDINGS INC</x:v>
      </x:c>
      <x:c r="F30" s="23" t="str">
        <x:v>SELL</x:v>
      </x:c>
      <x:c r="G30" s="25" t="n">
        <x:v>105</x:v>
      </x:c>
      <x:c r="H30" s="24" t="d">
        <x:v>2026-08-31T00:00:00.000Z</x:v>
      </x:c>
      <x:c r="I30" s="23" t="str">
        <x:v>TOKIO MARINE HOLDINGS INC</x:v>
      </x:c>
      <x:c r="J30" s="23" t="str">
        <x:v>SELL</x:v>
      </x:c>
      <x:c r="K30" s="25" t="n">
        <x:v>8</x:v>
      </x:c>
      <x:c r="L30" s="25" t="n">
        <x:f>IF(OR(B30="",H30=""),"",ABS(H30-B30))</x:f>
        <x:v>27</x:v>
      </x:c>
      <x:c r="M30" s="25" t="n">
        <x:f>IF(OR(G30="",K30=""),"",K30-G30)</x:f>
        <x:v>-97</x:v>
      </x:c>
      <x:c r="N30" s="23" t="str">
        <x:f>IF(H30="","No same-side Leonteq candidate",IF(AND(L30=0,M30=0),"Exact date + quantity",IF(M30=0,"Exact quantity; different date",IF(L30=0,"Same date; quantity differs","Closest same-side candidate; review"))))</x:f>
        <x:v>Closest same-side candidate; review</x:v>
      </x:c>
    </x:row>
    <x:row r="31">
      <x:c r="A31" s="23" t="n">
        <x:v>27</x:v>
      </x:c>
      <x:c r="B31" s="24" t="d">
        <x:v>2026-08-04T00:00:00.000Z</x:v>
      </x:c>
      <x:c r="C31" s="23" t="str">
        <x:v>V</x:v>
      </x:c>
      <x:c r="D31" s="23" t="str">
        <x:v>Toyota</x:v>
      </x:c>
      <x:c r="E31" s="23" t="str">
        <x:v>TOYOTA MOTOR CORP-REG</x:v>
      </x:c>
      <x:c r="F31" s="23" t="str">
        <x:v>SELL</x:v>
      </x:c>
      <x:c r="G31" s="25" t="n">
        <x:v>267</x:v>
      </x:c>
      <x:c r="H31" s="24" t="d">
        <x:v>2026-08-31T00:00:00.000Z</x:v>
      </x:c>
      <x:c r="I31" s="23" t="str">
        <x:v>TOYOTA MOTOR CORP-REG</x:v>
      </x:c>
      <x:c r="J31" s="23" t="str">
        <x:v>SELL</x:v>
      </x:c>
      <x:c r="K31" s="25" t="n">
        <x:v>66</x:v>
      </x:c>
      <x:c r="L31" s="25" t="n">
        <x:f>IF(OR(B31="",H31=""),"",ABS(H31-B31))</x:f>
        <x:v>27</x:v>
      </x:c>
      <x:c r="M31" s="25" t="n">
        <x:f>IF(OR(G31="",K31=""),"",K31-G31)</x:f>
        <x:v>-201</x:v>
      </x:c>
      <x:c r="N31" s="23" t="str">
        <x:f>IF(H31="","No same-side Leonteq candidate",IF(AND(L31=0,M31=0),"Exact date + quantity",IF(M31=0,"Exact quantity; different date",IF(L31=0,"Same date; quantity differs","Closest same-side candidate; review"))))</x:f>
        <x:v>Closest same-side candidate; review</x:v>
      </x:c>
    </x:row>
    <x:row r="32">
      <x:c r="A32" s="23" t="n">
        <x:v>28</x:v>
      </x:c>
      <x:c r="B32" s="24" t="d">
        <x:v>2026-08-04T00:00:00.000Z</x:v>
      </x:c>
      <x:c r="C32" s="23" t="str">
        <x:v>A</x:v>
      </x:c>
      <x:c r="D32" s="23" t="str">
        <x:v>Tokyo Electron</x:v>
      </x:c>
      <x:c r="E32" s="23" t="str">
        <x:v>TOKYO ELECTRON LTD</x:v>
      </x:c>
      <x:c r="F32" s="23" t="str">
        <x:v>BUY</x:v>
      </x:c>
      <x:c r="G32" s="25" t="n">
        <x:v>24</x:v>
      </x:c>
      <x:c r="H32" s="24" t="d">
        <x:v>2026-08-04T00:00:00.000Z</x:v>
      </x:c>
      <x:c r="I32" s="23" t="str">
        <x:v>TOKYO ELECTRON LTD</x:v>
      </x:c>
      <x:c r="J32" s="23" t="str">
        <x:v>BUY</x:v>
      </x:c>
      <x:c r="K32" s="25" t="n">
        <x:v>18</x:v>
      </x:c>
      <x:c r="L32" s="25" t="n">
        <x:f>IF(OR(B32="",H32=""),"",ABS(H32-B32))</x:f>
        <x:v>0</x:v>
      </x:c>
      <x:c r="M32" s="25" t="n">
        <x:f>IF(OR(G32="",K32=""),"",K32-G32)</x:f>
        <x:v>-6</x:v>
      </x:c>
      <x:c r="N32" s="23" t="str">
        <x:f>IF(H32="","No same-side Leonteq candidate",IF(AND(L32=0,M32=0),"Exact date + quantity",IF(M32=0,"Exact quantity; different date",IF(L32=0,"Same date; quantity differs","Closest same-side candidate; review"))))</x:f>
        <x:v>Same date; quantity differs</x:v>
      </x:c>
    </x:row>
    <x:row r="33">
      <x:c r="A33" s="23" t="n">
        <x:v>29</x:v>
      </x:c>
      <x:c r="B33" s="24" t="d">
        <x:v>2026-08-04T00:00:00.000Z</x:v>
      </x:c>
      <x:c r="C33" s="23" t="str">
        <x:v>V</x:v>
      </x:c>
      <x:c r="D33" s="23" t="str">
        <x:v>Tencent Holdings Ltd.</x:v>
      </x:c>
      <x:c r="E33" s="23" t="str">
        <x:v>TENCENT HOLDINGS LTD</x:v>
      </x:c>
      <x:c r="F33" s="23" t="str">
        <x:v>SELL</x:v>
      </x:c>
      <x:c r="G33" s="25" t="n">
        <x:v>181</x:v>
      </x:c>
      <x:c r="H33" s="24" t="d">
        <x:v>2026-08-31T00:00:00.000Z</x:v>
      </x:c>
      <x:c r="I33" s="23" t="str">
        <x:v>TENCENT HOLDINGS LTD</x:v>
      </x:c>
      <x:c r="J33" s="23" t="str">
        <x:v>SELL</x:v>
      </x:c>
      <x:c r="K33" s="25" t="n">
        <x:v>20</x:v>
      </x:c>
      <x:c r="L33" s="25" t="n">
        <x:f>IF(OR(B33="",H33=""),"",ABS(H33-B33))</x:f>
        <x:v>27</x:v>
      </x:c>
      <x:c r="M33" s="25" t="n">
        <x:f>IF(OR(G33="",K33=""),"",K33-G33)</x:f>
        <x:v>-161</x:v>
      </x:c>
      <x:c r="N33" s="23" t="str">
        <x:f>IF(H33="","No same-side Leonteq candidate",IF(AND(L33=0,M33=0),"Exact date + quantity",IF(M33=0,"Exact quantity; different date",IF(L33=0,"Same date; quantity differs","Closest same-side candidate; review"))))</x:f>
        <x:v>Closest same-side candidate; review</x:v>
      </x:c>
    </x:row>
    <x:row r="34">
      <x:c r="A34" s="23" t="n">
        <x:v>30</x:v>
      </x:c>
      <x:c r="B34" s="24" t="d">
        <x:v>2026-08-04T00:00:00.000Z</x:v>
      </x:c>
      <x:c r="C34" s="23" t="str">
        <x:v>A</x:v>
      </x:c>
      <x:c r="D34" s="23" t="str">
        <x:v>SK Hynix Inc</x:v>
      </x:c>
      <x:c r="E34" s="23" t="str">
        <x:v>SK HYNIX INC</x:v>
      </x:c>
      <x:c r="F34" s="23" t="str">
        <x:v>BUY</x:v>
      </x:c>
      <x:c r="G34" s="25" t="n">
        <x:v>8</x:v>
      </x:c>
      <x:c r="H34" s="24"/>
      <x:c r="I34" s="23"/>
      <x:c r="J34" s="23"/>
      <x:c r="K34" s="25"/>
      <x:c r="L34" s="25" t="str">
        <x:f>IF(OR(B34="",H34=""),"",ABS(H34-B34))</x:f>
      </x:c>
      <x:c r="M34" s="25" t="str">
        <x:f>IF(OR(G34="",K34=""),"",K34-G34)</x:f>
      </x:c>
      <x:c r="N34" s="23" t="str">
        <x:f>IF(H34="","No same-side Leonteq candidate",IF(AND(L34=0,M34=0),"Exact date + quantity",IF(M34=0,"Exact quantity; different date",IF(L34=0,"Same date; quantity differs","Closest same-side candidate; review"))))</x:f>
        <x:v>No same-side Leonteq candidate</x:v>
      </x:c>
    </x:row>
    <x:row r="35">
      <x:c r="A35" s="23" t="n">
        <x:v>31</x:v>
      </x:c>
      <x:c r="B35" s="24" t="d">
        <x:v>2026-08-04T00:00:00.000Z</x:v>
      </x:c>
      <x:c r="C35" s="23" t="str">
        <x:v>A</x:v>
      </x:c>
      <x:c r="D35" s="23" t="str">
        <x:v>Taiwan Semiconductor Manufact.</x:v>
      </x:c>
      <x:c r="E35" s="23" t="str">
        <x:v>TAIWAN SEMICONDUCTOR MANUFACTURING CO</x:v>
      </x:c>
      <x:c r="F35" s="23" t="str">
        <x:v>BUY</x:v>
      </x:c>
      <x:c r="G35" s="25" t="n">
        <x:v>1021</x:v>
      </x:c>
      <x:c r="H35" s="24" t="d">
        <x:v>2026-08-04T00:00:00.000Z</x:v>
      </x:c>
      <x:c r="I35" s="23" t="str">
        <x:v>TAIWAN SEMICONDUCTOR MANUFACTURING CO</x:v>
      </x:c>
      <x:c r="J35" s="23" t="str">
        <x:v>BUY</x:v>
      </x:c>
      <x:c r="K35" s="25" t="n">
        <x:v>208</x:v>
      </x:c>
      <x:c r="L35" s="25" t="n">
        <x:f>IF(OR(B35="",H35=""),"",ABS(H35-B35))</x:f>
        <x:v>0</x:v>
      </x:c>
      <x:c r="M35" s="25" t="n">
        <x:f>IF(OR(G35="",K35=""),"",K35-G35)</x:f>
        <x:v>-813</x:v>
      </x:c>
      <x:c r="N35" s="23" t="str">
        <x:f>IF(H35="","No same-side Leonteq candidate",IF(AND(L35=0,M35=0),"Exact date + quantity",IF(M35=0,"Exact quantity; different date",IF(L35=0,"Same date; quantity differs","Closest same-side candidate; review"))))</x:f>
        <x:v>Same date; quantity differs</x:v>
      </x:c>
    </x:row>
    <x:row r="36">
      <x:c r="A36" s="23" t="n">
        <x:v>32</x:v>
      </x:c>
      <x:c r="B36" s="24" t="d">
        <x:v>2026-08-04T00:00:00.000Z</x:v>
      </x:c>
      <x:c r="C36" s="23" t="str">
        <x:v>V</x:v>
      </x:c>
      <x:c r="D36" s="23" t="str">
        <x:v>Sony</x:v>
      </x:c>
      <x:c r="E36" s="23" t="str">
        <x:v>SONY GROUP CORP</x:v>
      </x:c>
      <x:c r="F36" s="23" t="str">
        <x:v>SELL</x:v>
      </x:c>
      <x:c r="G36" s="25" t="n">
        <x:v>123</x:v>
      </x:c>
      <x:c r="H36" s="24" t="d">
        <x:v>2026-08-31T00:00:00.000Z</x:v>
      </x:c>
      <x:c r="I36" s="23" t="str">
        <x:v>SONY GROUP CORP</x:v>
      </x:c>
      <x:c r="J36" s="23" t="str">
        <x:v>SELL</x:v>
      </x:c>
      <x:c r="K36" s="25" t="n">
        <x:v>50</x:v>
      </x:c>
      <x:c r="L36" s="25" t="n">
        <x:f>IF(OR(B36="",H36=""),"",ABS(H36-B36))</x:f>
        <x:v>27</x:v>
      </x:c>
      <x:c r="M36" s="25" t="n">
        <x:f>IF(OR(G36="",K36=""),"",K36-G36)</x:f>
        <x:v>-73</x:v>
      </x:c>
      <x:c r="N36" s="23" t="str">
        <x:f>IF(H36="","No same-side Leonteq candidate",IF(AND(L36=0,M36=0),"Exact date + quantity",IF(M36=0,"Exact quantity; different date",IF(L36=0,"Same date; quantity differs","Closest same-side candidate; review"))))</x:f>
        <x:v>Closest same-side candidate; review</x:v>
      </x:c>
    </x:row>
    <x:row r="37">
      <x:c r="A37" s="23" t="n">
        <x:v>33</x:v>
      </x:c>
      <x:c r="B37" s="24" t="d">
        <x:v>2026-08-04T00:00:00.000Z</x:v>
      </x:c>
      <x:c r="C37" s="23" t="str">
        <x:v>A</x:v>
      </x:c>
      <x:c r="D37" s="23" t="str">
        <x:v>Samsung Electronics</x:v>
      </x:c>
      <x:c r="E37" s="23" t="str">
        <x:v>SAMSUNG ELECTRONICS</x:v>
      </x:c>
      <x:c r="F37" s="23" t="str">
        <x:v>BUY</x:v>
      </x:c>
      <x:c r="G37" s="25" t="n">
        <x:v>70</x:v>
      </x:c>
      <x:c r="H37" s="24"/>
      <x:c r="I37" s="23"/>
      <x:c r="J37" s="23"/>
      <x:c r="K37" s="25"/>
      <x:c r="L37" s="25" t="str">
        <x:f>IF(OR(B37="",H37=""),"",ABS(H37-B37))</x:f>
      </x:c>
      <x:c r="M37" s="25" t="str">
        <x:f>IF(OR(G37="",K37=""),"",K37-G37)</x:f>
      </x:c>
      <x:c r="N37" s="23" t="str">
        <x:f>IF(H37="","No same-side Leonteq candidate",IF(AND(L37=0,M37=0),"Exact date + quantity",IF(M37=0,"Exact quantity; different date",IF(L37=0,"Same date; quantity differs","Closest same-side candidate; review"))))</x:f>
        <x:v>No same-side Leonteq candidate</x:v>
      </x:c>
    </x:row>
    <x:row r="38">
      <x:c r="A38" s="23" t="n">
        <x:v>34</x:v>
      </x:c>
      <x:c r="B38" s="24" t="d">
        <x:v>2026-08-04T00:00:00.000Z</x:v>
      </x:c>
      <x:c r="C38" s="23" t="str">
        <x:v>V</x:v>
      </x:c>
      <x:c r="D38" s="23" t="str">
        <x:v>Nestle India Ltd</x:v>
      </x:c>
      <x:c r="E38" s="23" t="str">
        <x:v>NESTLE INDIA LTD</x:v>
      </x:c>
      <x:c r="F38" s="23" t="str">
        <x:v>SELL</x:v>
      </x:c>
      <x:c r="G38" s="25" t="n">
        <x:v>3504</x:v>
      </x:c>
      <x:c r="H38" s="24"/>
      <x:c r="I38" s="23"/>
      <x:c r="J38" s="23"/>
      <x:c r="K38" s="25"/>
      <x:c r="L38" s="25" t="str">
        <x:f>IF(OR(B38="",H38=""),"",ABS(H38-B38))</x:f>
      </x:c>
      <x:c r="M38" s="25" t="str">
        <x:f>IF(OR(G38="",K38=""),"",K38-G38)</x:f>
      </x:c>
      <x:c r="N38" s="23" t="str">
        <x:f>IF(H38="","No same-side Leonteq candidate",IF(AND(L38=0,M38=0),"Exact date + quantity",IF(M38=0,"Exact quantity; different date",IF(L38=0,"Same date; quantity differs","Closest same-side candidate; review"))))</x:f>
        <x:v>No same-side Leonteq candidate</x:v>
      </x:c>
    </x:row>
    <x:row r="39">
      <x:c r="A39" s="23" t="n">
        <x:v>35</x:v>
      </x:c>
      <x:c r="B39" s="24" t="d">
        <x:v>2026-08-04T00:00:00.000Z</x:v>
      </x:c>
      <x:c r="C39" s="23" t="str">
        <x:v>V</x:v>
      </x:c>
      <x:c r="D39" s="23" t="str">
        <x:v>Nu Holdings Ltd Class A</x:v>
      </x:c>
      <x:c r="E39" s="23" t="str">
        <x:v>NU HOLDINGS LTD/CAYMAN ISL-A</x:v>
      </x:c>
      <x:c r="F39" s="23" t="str">
        <x:v>SELL</x:v>
      </x:c>
      <x:c r="G39" s="25" t="n">
        <x:v>192</x:v>
      </x:c>
      <x:c r="H39" s="24" t="d">
        <x:v>2026-08-14T00:00:00.000Z</x:v>
      </x:c>
      <x:c r="I39" s="23" t="str">
        <x:v>NU HOLDINGS LTD/CAYMAN ISL-A</x:v>
      </x:c>
      <x:c r="J39" s="23" t="str">
        <x:v>SELL</x:v>
      </x:c>
      <x:c r="K39" s="25" t="n">
        <x:v>275</x:v>
      </x:c>
      <x:c r="L39" s="25" t="n">
        <x:f>IF(OR(B39="",H39=""),"",ABS(H39-B39))</x:f>
        <x:v>10</x:v>
      </x:c>
      <x:c r="M39" s="25" t="n">
        <x:f>IF(OR(G39="",K39=""),"",K39-G39)</x:f>
        <x:v>83</x:v>
      </x:c>
      <x:c r="N39" s="23" t="str">
        <x:f>IF(H39="","No same-side Leonteq candidate",IF(AND(L39=0,M39=0),"Exact date + quantity",IF(M39=0,"Exact quantity; different date",IF(L39=0,"Same date; quantity differs","Closest same-side candidate; review"))))</x:f>
        <x:v>Closest same-side candidate; review</x:v>
      </x:c>
    </x:row>
    <x:row r="40">
      <x:c r="A40" s="23" t="n">
        <x:v>36</x:v>
      </x:c>
      <x:c r="B40" s="24" t="d">
        <x:v>2026-08-04T00:00:00.000Z</x:v>
      </x:c>
      <x:c r="C40" s="23" t="str">
        <x:v>A</x:v>
      </x:c>
      <x:c r="D40" s="23" t="str">
        <x:v>Mitsubishi UFJ Financial</x:v>
      </x:c>
      <x:c r="E40" s="23" t="str">
        <x:v>MITSUBISHI UFJ FINANCIAL GRO</x:v>
      </x:c>
      <x:c r="F40" s="23" t="str">
        <x:v>BUY</x:v>
      </x:c>
      <x:c r="G40" s="25" t="n">
        <x:v>2347</x:v>
      </x:c>
      <x:c r="H40" s="24" t="d">
        <x:v>2026-08-04T00:00:00.000Z</x:v>
      </x:c>
      <x:c r="I40" s="23" t="str">
        <x:v>MITSUBISHI UFJ FINANCIAL GRO</x:v>
      </x:c>
      <x:c r="J40" s="23" t="str">
        <x:v>BUY</x:v>
      </x:c>
      <x:c r="K40" s="25" t="n">
        <x:v>610</x:v>
      </x:c>
      <x:c r="L40" s="25" t="n">
        <x:f>IF(OR(B40="",H40=""),"",ABS(H40-B40))</x:f>
        <x:v>0</x:v>
      </x:c>
      <x:c r="M40" s="25" t="n">
        <x:f>IF(OR(G40="",K40=""),"",K40-G40)</x:f>
        <x:v>-1737</x:v>
      </x:c>
      <x:c r="N40" s="23" t="str">
        <x:f>IF(H40="","No same-side Leonteq candidate",IF(AND(L40=0,M40=0),"Exact date + quantity",IF(M40=0,"Exact quantity; different date",IF(L40=0,"Same date; quantity differs","Closest same-side candidate; review"))))</x:f>
        <x:v>Same date; quantity differs</x:v>
      </x:c>
    </x:row>
    <x:row r="41">
      <x:c r="A41" s="23" t="n">
        <x:v>37</x:v>
      </x:c>
      <x:c r="B41" s="24" t="d">
        <x:v>2026-08-04T00:00:00.000Z</x:v>
      </x:c>
      <x:c r="C41" s="23" t="str">
        <x:v>V</x:v>
      </x:c>
      <x:c r="D41" s="23" t="str">
        <x:v>MercadoLibre</x:v>
      </x:c>
      <x:c r="E41" s="23" t="str">
        <x:v>MERCADOLIBRE INC</x:v>
      </x:c>
      <x:c r="F41" s="23" t="str">
        <x:v>SELL</x:v>
      </x:c>
      <x:c r="G41" s="25" t="n">
        <x:v>2</x:v>
      </x:c>
      <x:c r="H41" s="24"/>
      <x:c r="I41" s="23"/>
      <x:c r="J41" s="23"/>
      <x:c r="K41" s="25"/>
      <x:c r="L41" s="25" t="str">
        <x:f>IF(OR(B41="",H41=""),"",ABS(H41-B41))</x:f>
      </x:c>
      <x:c r="M41" s="25" t="str">
        <x:f>IF(OR(G41="",K41=""),"",K41-G41)</x:f>
      </x:c>
      <x:c r="N41" s="23" t="str">
        <x:f>IF(H41="","No same-side Leonteq candidate",IF(AND(L41=0,M41=0),"Exact date + quantity",IF(M41=0,"Exact quantity; different date",IF(L41=0,"Same date; quantity differs","Closest same-side candidate; review"))))</x:f>
        <x:v>No same-side Leonteq candidate</x:v>
      </x:c>
    </x:row>
    <x:row r="42">
      <x:c r="A42" s="23" t="n">
        <x:v>38</x:v>
      </x:c>
      <x:c r="B42" s="24" t="d">
        <x:v>2026-08-04T00:00:00.000Z</x:v>
      </x:c>
      <x:c r="C42" s="23" t="str">
        <x:v>A</x:v>
      </x:c>
      <x:c r="D42" s="23" t="str">
        <x:v>Larsen &amp; Toubro Limited</x:v>
      </x:c>
      <x:c r="E42" s="23" t="str">
        <x:v>LARSEN &amp; TOUBRO-GDR REG S</x:v>
      </x:c>
      <x:c r="F42" s="23" t="str">
        <x:v>BUY</x:v>
      </x:c>
      <x:c r="G42" s="25" t="n">
        <x:v>53</x:v>
      </x:c>
      <x:c r="H42" s="24" t="d">
        <x:v>2026-08-04T00:00:00.000Z</x:v>
      </x:c>
      <x:c r="I42" s="23" t="str">
        <x:v>LARSEN &amp; TOUBRO-GDR REG S</x:v>
      </x:c>
      <x:c r="J42" s="23" t="str">
        <x:v>BUY</x:v>
      </x:c>
      <x:c r="K42" s="25" t="n">
        <x:v>280</x:v>
      </x:c>
      <x:c r="L42" s="25" t="n">
        <x:f>IF(OR(B42="",H42=""),"",ABS(H42-B42))</x:f>
        <x:v>0</x:v>
      </x:c>
      <x:c r="M42" s="25" t="n">
        <x:f>IF(OR(G42="",K42=""),"",K42-G42)</x:f>
        <x:v>227</x:v>
      </x:c>
      <x:c r="N42" s="23" t="str">
        <x:f>IF(H42="","No same-side Leonteq candidate",IF(AND(L42=0,M42=0),"Exact date + quantity",IF(M42=0,"Exact quantity; different date",IF(L42=0,"Same date; quantity differs","Closest same-side candidate; review"))))</x:f>
        <x:v>Same date; quantity differs</x:v>
      </x:c>
    </x:row>
    <x:row r="43">
      <x:c r="A43" s="23" t="n">
        <x:v>39</x:v>
      </x:c>
      <x:c r="B43" s="24" t="d">
        <x:v>2026-08-04T00:00:00.000Z</x:v>
      </x:c>
      <x:c r="C43" s="23" t="str">
        <x:v>A</x:v>
      </x:c>
      <x:c r="D43" s="23" t="str">
        <x:v>MediaTek Inc.</x:v>
      </x:c>
      <x:c r="E43" s="23" t="str">
        <x:v>MEDIATEK INC</x:v>
      </x:c>
      <x:c r="F43" s="23" t="str">
        <x:v>BUY</x:v>
      </x:c>
      <x:c r="G43" s="25" t="n">
        <x:v>282</x:v>
      </x:c>
      <x:c r="H43" s="24" t="d">
        <x:v>2026-08-04T00:00:00.000Z</x:v>
      </x:c>
      <x:c r="I43" s="23" t="str">
        <x:v>MEDIATEK INC</x:v>
      </x:c>
      <x:c r="J43" s="23" t="str">
        <x:v>BUY</x:v>
      </x:c>
      <x:c r="K43" s="25" t="n">
        <x:v>64</x:v>
      </x:c>
      <x:c r="L43" s="25" t="n">
        <x:f>IF(OR(B43="",H43=""),"",ABS(H43-B43))</x:f>
        <x:v>0</x:v>
      </x:c>
      <x:c r="M43" s="25" t="n">
        <x:f>IF(OR(G43="",K43=""),"",K43-G43)</x:f>
        <x:v>-218</x:v>
      </x:c>
      <x:c r="N43" s="23" t="str">
        <x:f>IF(H43="","No same-side Leonteq candidate",IF(AND(L43=0,M43=0),"Exact date + quantity",IF(M43=0,"Exact quantity; different date",IF(L43=0,"Same date; quantity differs","Closest same-side candidate; review"))))</x:f>
        <x:v>Same date; quantity differs</x:v>
      </x:c>
    </x:row>
    <x:row r="44">
      <x:c r="A44" s="23" t="n">
        <x:v>40</x:v>
      </x:c>
      <x:c r="B44" s="24" t="d">
        <x:v>2026-08-04T00:00:00.000Z</x:v>
      </x:c>
      <x:c r="C44" s="23" t="str">
        <x:v>V</x:v>
      </x:c>
      <x:c r="D44" s="23" t="str">
        <x:v>Hitachi</x:v>
      </x:c>
      <x:c r="E44" s="23" t="str">
        <x:v>HITACHI LTD</x:v>
      </x:c>
      <x:c r="F44" s="23" t="str">
        <x:v>SELL</x:v>
      </x:c>
      <x:c r="G44" s="25" t="n">
        <x:v>286</x:v>
      </x:c>
      <x:c r="H44" s="24"/>
      <x:c r="I44" s="23"/>
      <x:c r="J44" s="23"/>
      <x:c r="K44" s="25"/>
      <x:c r="L44" s="25" t="str">
        <x:f>IF(OR(B44="",H44=""),"",ABS(H44-B44))</x:f>
      </x:c>
      <x:c r="M44" s="25" t="str">
        <x:f>IF(OR(G44="",K44=""),"",K44-G44)</x:f>
      </x:c>
      <x:c r="N44" s="23" t="str">
        <x:f>IF(H44="","No same-side Leonteq candidate",IF(AND(L44=0,M44=0),"Exact date + quantity",IF(M44=0,"Exact quantity; different date",IF(L44=0,"Same date; quantity differs","Closest same-side candidate; review"))))</x:f>
        <x:v>No same-side Leonteq candidate</x:v>
      </x:c>
    </x:row>
    <x:row r="45">
      <x:c r="A45" s="23" t="n">
        <x:v>41</x:v>
      </x:c>
      <x:c r="B45" s="24" t="d">
        <x:v>2026-08-04T00:00:00.000Z</x:v>
      </x:c>
      <x:c r="C45" s="23" t="str">
        <x:v>V</x:v>
      </x:c>
      <x:c r="D45" s="23" t="str">
        <x:v>HOYA Corporation</x:v>
      </x:c>
      <x:c r="E45" s="23" t="str">
        <x:v>HOYA CORP</x:v>
      </x:c>
      <x:c r="F45" s="23" t="str">
        <x:v>SELL</x:v>
      </x:c>
      <x:c r="G45" s="25" t="n">
        <x:v>47</x:v>
      </x:c>
      <x:c r="H45" s="24" t="d">
        <x:v>2026-08-31T00:00:00.000Z</x:v>
      </x:c>
      <x:c r="I45" s="23" t="str">
        <x:v>HOYA CORP</x:v>
      </x:c>
      <x:c r="J45" s="23" t="str">
        <x:v>SELL</x:v>
      </x:c>
      <x:c r="K45" s="25" t="n">
        <x:v>3</x:v>
      </x:c>
      <x:c r="L45" s="25" t="n">
        <x:f>IF(OR(B45="",H45=""),"",ABS(H45-B45))</x:f>
        <x:v>27</x:v>
      </x:c>
      <x:c r="M45" s="25" t="n">
        <x:f>IF(OR(G45="",K45=""),"",K45-G45)</x:f>
        <x:v>-44</x:v>
      </x:c>
      <x:c r="N45" s="23" t="str">
        <x:f>IF(H45="","No same-side Leonteq candidate",IF(AND(L45=0,M45=0),"Exact date + quantity",IF(M45=0,"Exact quantity; different date",IF(L45=0,"Same date; quantity differs","Closest same-side candidate; review"))))</x:f>
        <x:v>Closest same-side candidate; review</x:v>
      </x:c>
    </x:row>
    <x:row r="46">
      <x:c r="A46" s="23" t="n">
        <x:v>42</x:v>
      </x:c>
      <x:c r="B46" s="24" t="d">
        <x:v>2026-08-04T00:00:00.000Z</x:v>
      </x:c>
      <x:c r="C46" s="23" t="str">
        <x:v>V</x:v>
      </x:c>
      <x:c r="D46" s="23" t="str">
        <x:v>Keyence</x:v>
      </x:c>
      <x:c r="E46" s="23" t="str">
        <x:v>KEYENCE CORP</x:v>
      </x:c>
      <x:c r="F46" s="23" t="str">
        <x:v>SELL</x:v>
      </x:c>
      <x:c r="G46" s="25" t="n">
        <x:v>11</x:v>
      </x:c>
      <x:c r="H46" s="24" t="d">
        <x:v>2026-08-31T00:00:00.000Z</x:v>
      </x:c>
      <x:c r="I46" s="23" t="str">
        <x:v>KEYENCE CORP</x:v>
      </x:c>
      <x:c r="J46" s="23" t="str">
        <x:v>SELL</x:v>
      </x:c>
      <x:c r="K46" s="25" t="n">
        <x:v>1</x:v>
      </x:c>
      <x:c r="L46" s="25" t="n">
        <x:f>IF(OR(B46="",H46=""),"",ABS(H46-B46))</x:f>
        <x:v>27</x:v>
      </x:c>
      <x:c r="M46" s="25" t="n">
        <x:f>IF(OR(G46="",K46=""),"",K46-G46)</x:f>
        <x:v>-10</x:v>
      </x:c>
      <x:c r="N46" s="23" t="str">
        <x:f>IF(H46="","No same-side Leonteq candidate",IF(AND(L46=0,M46=0),"Exact date + quantity",IF(M46=0,"Exact quantity; different date",IF(L46=0,"Same date; quantity differs","Closest same-side candidate; review"))))</x:f>
        <x:v>Closest same-side candidate; review</x:v>
      </x:c>
    </x:row>
    <x:row r="47">
      <x:c r="A47" s="23" t="n">
        <x:v>43</x:v>
      </x:c>
      <x:c r="B47" s="24" t="d">
        <x:v>2026-08-04T00:00:00.000Z</x:v>
      </x:c>
      <x:c r="C47" s="23" t="str">
        <x:v>A</x:v>
      </x:c>
      <x:c r="D47" s="23" t="str">
        <x:v>HDFC Bank</x:v>
      </x:c>
      <x:c r="E47" s="23" t="str">
        <x:v>HDFC BANK LTD-ADR</x:v>
      </x:c>
      <x:c r="F47" s="23" t="str">
        <x:v>BUY</x:v>
      </x:c>
      <x:c r="G47" s="25" t="n">
        <x:v>546</x:v>
      </x:c>
      <x:c r="H47" s="24" t="d">
        <x:v>2026-08-04T00:00:00.000Z</x:v>
      </x:c>
      <x:c r="I47" s="23" t="str">
        <x:v>HDFC BANK LTD-ADR</x:v>
      </x:c>
      <x:c r="J47" s="23" t="str">
        <x:v>BUY</x:v>
      </x:c>
      <x:c r="K47" s="25" t="n">
        <x:v>401</x:v>
      </x:c>
      <x:c r="L47" s="25" t="n">
        <x:f>IF(OR(B47="",H47=""),"",ABS(H47-B47))</x:f>
        <x:v>0</x:v>
      </x:c>
      <x:c r="M47" s="25" t="n">
        <x:f>IF(OR(G47="",K47=""),"",K47-G47)</x:f>
        <x:v>-145</x:v>
      </x:c>
      <x:c r="N47" s="23" t="str">
        <x:f>IF(H47="","No same-side Leonteq candidate",IF(AND(L47=0,M47=0),"Exact date + quantity",IF(M47=0,"Exact quantity; different date",IF(L47=0,"Same date; quantity differs","Closest same-side candidate; review"))))</x:f>
        <x:v>Same date; quantity differs</x:v>
      </x:c>
    </x:row>
    <x:row r="48">
      <x:c r="A48" s="23" t="n">
        <x:v>44</x:v>
      </x:c>
      <x:c r="B48" s="24" t="d">
        <x:v>2026-08-04T00:00:00.000Z</x:v>
      </x:c>
      <x:c r="C48" s="23" t="str">
        <x:v>A</x:v>
      </x:c>
      <x:c r="D48" s="23" t="str">
        <x:v>Delta Electronics Inc.</x:v>
      </x:c>
      <x:c r="E48" s="23" t="str">
        <x:v>DELTA ELECTRONICS INC</x:v>
      </x:c>
      <x:c r="F48" s="23" t="str">
        <x:v>BUY</x:v>
      </x:c>
      <x:c r="G48" s="25" t="n">
        <x:v>1064</x:v>
      </x:c>
      <x:c r="H48" s="24" t="d">
        <x:v>2026-08-04T00:00:00.000Z</x:v>
      </x:c>
      <x:c r="I48" s="23" t="str">
        <x:v>DELTA ELECTRONICS INC</x:v>
      </x:c>
      <x:c r="J48" s="23" t="str">
        <x:v>BUY</x:v>
      </x:c>
      <x:c r="K48" s="25" t="n">
        <x:v>162</x:v>
      </x:c>
      <x:c r="L48" s="25" t="n">
        <x:f>IF(OR(B48="",H48=""),"",ABS(H48-B48))</x:f>
        <x:v>0</x:v>
      </x:c>
      <x:c r="M48" s="25" t="n">
        <x:f>IF(OR(G48="",K48=""),"",K48-G48)</x:f>
        <x:v>-902</x:v>
      </x:c>
      <x:c r="N48" s="23" t="str">
        <x:f>IF(H48="","No same-side Leonteq candidate",IF(AND(L48=0,M48=0),"Exact date + quantity",IF(M48=0,"Exact quantity; different date",IF(L48=0,"Same date; quantity differs","Closest same-side candidate; review"))))</x:f>
        <x:v>Same date; quantity differs</x:v>
      </x:c>
    </x:row>
    <x:row r="49">
      <x:c r="A49" s="23" t="n">
        <x:v>45</x:v>
      </x:c>
      <x:c r="B49" s="24" t="d">
        <x:v>2026-08-04T00:00:00.000Z</x:v>
      </x:c>
      <x:c r="C49" s="23" t="str">
        <x:v>A</x:v>
      </x:c>
      <x:c r="D49" s="23" t="str">
        <x:v>Baidu</x:v>
      </x:c>
      <x:c r="E49" s="23" t="str">
        <x:v>BAIDU INC-CLASS A</x:v>
      </x:c>
      <x:c r="F49" s="23" t="str">
        <x:v>BUY</x:v>
      </x:c>
      <x:c r="G49" s="25" t="n">
        <x:v>2166</x:v>
      </x:c>
      <x:c r="H49" s="24" t="d">
        <x:v>2026-08-04T00:00:00.000Z</x:v>
      </x:c>
      <x:c r="I49" s="23" t="str">
        <x:v>BAIDU INC-CLASS A</x:v>
      </x:c>
      <x:c r="J49" s="23" t="str">
        <x:v>BUY</x:v>
      </x:c>
      <x:c r="K49" s="25" t="n">
        <x:v>931</x:v>
      </x:c>
      <x:c r="L49" s="25" t="n">
        <x:f>IF(OR(B49="",H49=""),"",ABS(H49-B49))</x:f>
        <x:v>0</x:v>
      </x:c>
      <x:c r="M49" s="25" t="n">
        <x:f>IF(OR(G49="",K49=""),"",K49-G49)</x:f>
        <x:v>-1235</x:v>
      </x:c>
      <x:c r="N49" s="23" t="str">
        <x:f>IF(H49="","No same-side Leonteq candidate",IF(AND(L49=0,M49=0),"Exact date + quantity",IF(M49=0,"Exact quantity; different date",IF(L49=0,"Same date; quantity differs","Closest same-side candidate; review"))))</x:f>
        <x:v>Same date; quantity differs</x:v>
      </x:c>
    </x:row>
    <x:row r="50">
      <x:c r="A50" s="23" t="n">
        <x:v>46</x:v>
      </x:c>
      <x:c r="B50" s="24" t="d">
        <x:v>2026-10-01T00:00:00.000Z</x:v>
      </x:c>
      <x:c r="C50" s="23" t="str">
        <x:v>D</x:v>
      </x:c>
      <x:c r="D50" s="23" t="str">
        <x:v>Tokyo Electron</x:v>
      </x:c>
      <x:c r="E50" s="23" t="str">
        <x:v>TOKYO ELECTRON LTD</x:v>
      </x:c>
      <x:c r="F50" s="23" t="str"/>
      <x:c r="G50" s="25" t="n">
        <x:v>448</x:v>
      </x:c>
      <x:c r="H50" s="24"/>
      <x:c r="I50" s="23"/>
      <x:c r="J50" s="23"/>
      <x:c r="K50" s="25"/>
      <x:c r="L50" s="25" t="str">
        <x:f>IF(OR(B50="",H50=""),"",ABS(H50-B50))</x:f>
      </x:c>
      <x:c r="M50" s="25" t="str">
        <x:f>IF(OR(G50="",K50=""),"",K50-G50)</x:f>
      </x:c>
      <x:c r="N50" s="23" t="str">
        <x:f>IF(H50="","No same-side Leonteq candidate",IF(AND(L50=0,M50=0),"Exact date + quantity",IF(M50=0,"Exact quantity; different date",IF(L50=0,"Same date; quantity differs","Closest same-side candidate; review"))))</x:f>
        <x:v>No same-side Leonteq candidate</x:v>
      </x:c>
    </x:row>
    <x:row r="51">
      <x:c r="A51" s="23" t="n">
        <x:v>47</x:v>
      </x:c>
      <x:c r="B51" s="24" t="d">
        <x:v>2026-10-01T00:00:00.000Z</x:v>
      </x:c>
      <x:c r="C51" s="23" t="str">
        <x:v>D</x:v>
      </x:c>
      <x:c r="D51" s="23" t="str">
        <x:v>Tokio Marine</x:v>
      </x:c>
      <x:c r="E51" s="23" t="str">
        <x:v>TOKIO MARINE HOLDINGS INC</x:v>
      </x:c>
      <x:c r="F51" s="23" t="str"/>
      <x:c r="G51" s="25" t="n">
        <x:v>15554</x:v>
      </x:c>
      <x:c r="H51" s="24"/>
      <x:c r="I51" s="23"/>
      <x:c r="J51" s="23"/>
      <x:c r="K51" s="25"/>
      <x:c r="L51" s="25" t="str">
        <x:f>IF(OR(B51="",H51=""),"",ABS(H51-B51))</x:f>
      </x:c>
      <x:c r="M51" s="25" t="str">
        <x:f>IF(OR(G51="",K51=""),"",K51-G51)</x:f>
      </x:c>
      <x:c r="N51" s="23" t="str">
        <x:f>IF(H51="","No same-side Leonteq candidate",IF(AND(L51=0,M51=0),"Exact date + quantity",IF(M51=0,"Exact quantity; different date",IF(L51=0,"Same date; quantity differs","Closest same-side candidate; review"))))</x:f>
        <x:v>No same-side Leonteq candidate</x:v>
      </x:c>
    </x:row>
  </x:sheetData>
  <x:conditionalFormatting sqref="N5:N51">
    <x:cfRule type="containsText" dxfId="0" priority="1" operator="containsText" text="Exact date"/>
    <x:cfRule type="containsText" dxfId="1" priority="2" operator="containsText" text="Same date"/>
    <x:cfRule type="containsText" dxfId="2" priority="3" operator="containsText" text="Closest"/>
    <x:cfRule type="containsText" dxfId="3" priority="4" operator="containsText" text="No same"/>
  </x:conditionalFormatting>
  <x:pageMargins left="0.7" right="0.7" top="0.75" bottom="0.75" header="0.3" footer="0.3"/>
  <x:tableParts count="1">
    <x:tablePart xmlns:r="http://schemas.openxmlformats.org/officeDocument/2006/relationships" r:id="R62e1e14377214a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execution history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ea1330da837745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34" hidden="0" customWidth="1"/>
    <x:col min="5" max="5" width="15" hidden="0" customWidth="1"/>
    <x:col min="6" max="6" width="17" hidden="0" customWidth="1"/>
    <x:col min="7" max="7" width="16" hidden="0" customWidth="1"/>
    <x:col min="8" max="8" width="14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4" hidden="0" customWidth="1"/>
    <x:col min="14" max="14" width="12" hidden="0" customWidth="1"/>
  </x:cols>
  <x:sheetData>
    <x:row r="2">
      <x:c r="A2" s="1" t="str">
        <x:v>AIRS report: AziëTopSelectie fixed</x:v>
      </x:c>
    </x:row>
    <x:row r="4">
      <x:c r="A4" s="10" t="str">
        <x:v>Datum</x:v>
      </x:c>
      <x:c r="B4" s="10" t="str">
        <x:v>Tt</x:v>
      </x:c>
      <x:c r="C4" s="10" t="str">
        <x:v>Aantal</x:v>
      </x:c>
      <x:c r="D4" s="10" t="str">
        <x:v>Fonds</x:v>
      </x:c>
      <x:c r="E4" s="10" t="str">
        <x:v>Fondskoers</x:v>
      </x:c>
      <x:c r="F4" s="10" t="str">
        <x:v>Waarde</x:v>
      </x:c>
      <x:c r="G4" s="10" t="str">
        <x:v>Waarde EUR</x:v>
      </x:c>
      <x:c r="H4" s="10" t="str">
        <x:v>Koers</x:v>
      </x:c>
      <x:c r="I4" s="10" t="str">
        <x:v>Waarde (verkoop)</x:v>
      </x:c>
      <x:c r="J4" s="10" t="str">
        <x:v>Waarde EUR (verkoop)</x:v>
      </x:c>
      <x:c r="K4" s="10" t="str">
        <x:v>Kostprijs</x:v>
      </x:c>
      <x:c r="L4" s="10" t="str">
        <x:v>Res. voorg. jr.</x:v>
      </x:c>
      <x:c r="M4" s="10" t="str">
        <x:v>Res. YtD</x:v>
      </x:c>
      <x:c r="N4" s="10" t="str">
        <x:v>Res. in %</x:v>
      </x:c>
    </x:row>
    <x:row r="5">
      <x:c r="A5" s="18" t="d">
        <x:v>2026-07-06T00:00:00.000Z</x:v>
      </x:c>
      <x:c r="B5" t="str">
        <x:v>A</x:v>
      </x:c>
      <x:c r="C5" s="19" t="n">
        <x:v>88</x:v>
      </x:c>
      <x:c r="D5" t="str">
        <x:v>Delta Electronics Inc.</x:v>
      </x:c>
      <x:c r="E5" s="26" t="n">
        <x:v>2075</x:v>
      </x:c>
      <x:c r="F5" s="26" t="n">
        <x:v>182600</x:v>
      </x:c>
      <x:c r="G5" s="26" t="n">
        <x:v>5001.41</x:v>
      </x:c>
      <x:c r="H5" s="26"/>
      <x:c r="I5" s="26"/>
      <x:c r="J5" s="26"/>
      <x:c r="K5" s="26"/>
      <x:c r="L5" s="26"/>
      <x:c r="M5" s="26"/>
      <x:c r="N5" s="27"/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s="26" t="n">
        <x:v>2828</x:v>
      </x:c>
      <x:c r="F6" s="26" t="n">
        <x:v>9224936</x:v>
      </x:c>
      <x:c r="G6" s="26" t="n">
        <x:v>50005.06</x:v>
      </x:c>
      <x:c r="H6" s="26"/>
      <x:c r="I6" s="26"/>
      <x:c r="J6" s="26"/>
      <x:c r="K6" s="26"/>
      <x:c r="L6" s="26"/>
      <x:c r="M6" s="26"/>
      <x:c r="N6" s="27"/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s="26" t="n">
        <x:v>73200</x:v>
      </x:c>
      <x:c r="F7" s="26" t="n">
        <x:v>6441600</x:v>
      </x:c>
      <x:c r="G7" s="26" t="n">
        <x:v>34917.59</x:v>
      </x:c>
      <x:c r="H7" s="26"/>
      <x:c r="I7" s="26"/>
      <x:c r="J7" s="26"/>
      <x:c r="K7" s="26"/>
      <x:c r="L7" s="26"/>
      <x:c r="M7" s="26"/>
      <x:c r="N7" s="27"/>
    </x:row>
    <x:row r="8">
      <x:c r="A8" s="18" t="d">
        <x:v>2026-07-06T00:00:00.000Z</x:v>
      </x:c>
      <x:c r="B8" t="str">
        <x:v>A</x:v>
      </x:c>
      <x:c r="C8" s="19" t="n">
        <x:v>1354</x:v>
      </x:c>
      <x:c r="D8" t="str">
        <x:v>Tencent Holdings Ltd.</x:v>
      </x:c>
      <x:c r="E8" s="26" t="n">
        <x:v>431.2</x:v>
      </x:c>
      <x:c r="F8" s="26" t="n">
        <x:v>583844.8</x:v>
      </x:c>
      <x:c r="G8" s="26" t="n">
        <x:v>65022.64</x:v>
      </x:c>
      <x:c r="H8" s="26"/>
      <x:c r="I8" s="26"/>
      <x:c r="J8" s="26"/>
      <x:c r="K8" s="26"/>
      <x:c r="L8" s="26"/>
      <x:c r="M8" s="26"/>
      <x:c r="N8" s="27"/>
    </x:row>
    <x:row r="9">
      <x:c r="A9" s="18" t="d">
        <x:v>2026-07-06T00:00:00.000Z</x:v>
      </x:c>
      <x:c r="B9" t="str">
        <x:v>A</x:v>
      </x:c>
      <x:c r="C9" s="19" t="n">
        <x:v>1216</x:v>
      </x:c>
      <x:c r="D9" t="str">
        <x:v>Tokio Marine</x:v>
      </x:c>
      <x:c r="E9" s="26" t="n">
        <x:v>7584</x:v>
      </x:c>
      <x:c r="F9" s="26" t="n">
        <x:v>9222144</x:v>
      </x:c>
      <x:c r="G9" s="26" t="n">
        <x:v>49989.92</x:v>
      </x:c>
      <x:c r="H9" s="26"/>
      <x:c r="I9" s="26"/>
      <x:c r="J9" s="26"/>
      <x:c r="K9" s="26"/>
      <x:c r="L9" s="26"/>
      <x:c r="M9" s="26"/>
      <x:c r="N9" s="27"/>
    </x:row>
    <x:row r="10">
      <x:c r="A10" s="18" t="d">
        <x:v>2026-07-06T00:00:00.000Z</x:v>
      </x:c>
      <x:c r="B10" t="str">
        <x:v>A</x:v>
      </x:c>
      <x:c r="C10" s="19" t="n">
        <x:v>105</x:v>
      </x:c>
      <x:c r="D10" t="str">
        <x:v>Taiwan Semiconductor Manufact.</x:v>
      </x:c>
      <x:c r="E10" s="26" t="n">
        <x:v>2445</x:v>
      </x:c>
      <x:c r="F10" s="26" t="n">
        <x:v>256725</x:v>
      </x:c>
      <x:c r="G10" s="26" t="n">
        <x:v>7031.7</x:v>
      </x:c>
      <x:c r="H10" s="26"/>
      <x:c r="I10" s="26"/>
      <x:c r="J10" s="26"/>
      <x:c r="K10" s="26"/>
      <x:c r="L10" s="26"/>
      <x:c r="M10" s="26"/>
      <x:c r="N10" s="27"/>
    </x:row>
    <x:row r="11">
      <x:c r="A11" s="18" t="d">
        <x:v>2026-07-06T00:00:00.000Z</x:v>
      </x:c>
      <x:c r="B11" t="str">
        <x:v>A</x:v>
      </x:c>
      <x:c r="C11" s="19" t="n">
        <x:v>1637</x:v>
      </x:c>
      <x:c r="D11" t="str">
        <x:v>Sony</x:v>
      </x:c>
      <x:c r="E11" s="26" t="n">
        <x:v>3380</x:v>
      </x:c>
      <x:c r="F11" s="26" t="n">
        <x:v>5533060</x:v>
      </x:c>
      <x:c r="G11" s="26" t="n">
        <x:v>29992.73</x:v>
      </x:c>
      <x:c r="H11" s="26"/>
      <x:c r="I11" s="26"/>
      <x:c r="J11" s="26"/>
      <x:c r="K11" s="26"/>
      <x:c r="L11" s="26"/>
      <x:c r="M11" s="26"/>
      <x:c r="N11" s="27"/>
    </x:row>
    <x:row r="12">
      <x:c r="A12" s="18" t="d">
        <x:v>2026-07-06T00:00:00.000Z</x:v>
      </x:c>
      <x:c r="B12" t="str">
        <x:v>A</x:v>
      </x:c>
      <x:c r="C12" s="19" t="n">
        <x:v>26</x:v>
      </x:c>
      <x:c r="D12" t="str">
        <x:v>MercadoLibre</x:v>
      </x:c>
      <x:c r="E12" s="26" t="n">
        <x:v>1763.36</x:v>
      </x:c>
      <x:c r="F12" s="26" t="n">
        <x:v>45847.36</x:v>
      </x:c>
      <x:c r="G12" s="26" t="n">
        <x:v>40048.36</x:v>
      </x:c>
      <x:c r="H12" s="26"/>
      <x:c r="I12" s="26"/>
      <x:c r="J12" s="26"/>
      <x:c r="K12" s="26"/>
      <x:c r="L12" s="26"/>
      <x:c r="M12" s="26"/>
      <x:c r="N12" s="27"/>
    </x:row>
    <x:row r="13">
      <x:c r="A13" s="18" t="d">
        <x:v>2026-07-06T00:00:00.000Z</x:v>
      </x:c>
      <x:c r="B13" t="str">
        <x:v>A</x:v>
      </x:c>
      <x:c r="C13" s="19" t="n">
        <x:v>214</x:v>
      </x:c>
      <x:c r="D13" t="str">
        <x:v>Mitsui Kinzoku Co Ltd</x:v>
      </x:c>
      <x:c r="E13" s="26" t="n">
        <x:v>38740</x:v>
      </x:c>
      <x:c r="F13" s="26" t="n">
        <x:v>8290360</x:v>
      </x:c>
      <x:c r="G13" s="26" t="n">
        <x:v>44939.06</x:v>
      </x:c>
      <x:c r="H13" s="26"/>
      <x:c r="I13" s="26"/>
      <x:c r="J13" s="26"/>
      <x:c r="K13" s="26"/>
      <x:c r="L13" s="26"/>
      <x:c r="M13" s="26"/>
      <x:c r="N13" s="27"/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s="26" t="n">
        <x:v>1400</x:v>
      </x:c>
      <x:c r="F14" s="26" t="n">
        <x:v>4905600</x:v>
      </x:c>
      <x:c r="G14" s="26" t="n">
        <x:v>45004.66</x:v>
      </x:c>
      <x:c r="H14" s="26"/>
      <x:c r="I14" s="26"/>
      <x:c r="J14" s="26"/>
      <x:c r="K14" s="26"/>
      <x:c r="L14" s="26"/>
      <x:c r="M14" s="26"/>
      <x:c r="N14" s="27"/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s="26" t="n">
        <x:v>13.61</x:v>
      </x:c>
      <x:c r="F15" s="26" t="n">
        <x:v>40067.84</x:v>
      </x:c>
      <x:c r="G15" s="26" t="n">
        <x:v>34999.86</x:v>
      </x:c>
      <x:c r="H15" s="26"/>
      <x:c r="I15" s="26"/>
      <x:c r="J15" s="26"/>
      <x:c r="K15" s="26"/>
      <x:c r="L15" s="26"/>
      <x:c r="M15" s="26"/>
      <x:c r="N15" s="27"/>
    </x:row>
    <x:row r="16">
      <x:c r="A16" s="18" t="d">
        <x:v>2026-07-06T00:00:00.000Z</x:v>
      </x:c>
      <x:c r="B16" t="str">
        <x:v>A</x:v>
      </x:c>
      <x:c r="C16" s="19" t="n">
        <x:v>340</x:v>
      </x:c>
      <x:c r="D16" t="str">
        <x:v>Samsung Electronics</x:v>
      </x:c>
      <x:c r="E16" s="26" t="n">
        <x:v>309500</x:v>
      </x:c>
      <x:c r="F16" s="26" t="n">
        <x:v>105230000</x:v>
      </x:c>
      <x:c r="G16" s="26" t="n">
        <x:v>60030.56</x:v>
      </x:c>
      <x:c r="H16" s="26"/>
      <x:c r="I16" s="26"/>
      <x:c r="J16" s="26"/>
      <x:c r="K16" s="26"/>
      <x:c r="L16" s="26"/>
      <x:c r="M16" s="26"/>
      <x:c r="N16" s="27"/>
    </x:row>
    <x:row r="17">
      <x:c r="A17" s="18" t="d">
        <x:v>2026-07-06T00:00:00.000Z</x:v>
      </x:c>
      <x:c r="B17" t="str">
        <x:v>A</x:v>
      </x:c>
      <x:c r="C17" s="19" t="n">
        <x:v>18</x:v>
      </x:c>
      <x:c r="D17" t="str">
        <x:v>SK Hynix Inc</x:v>
      </x:c>
      <x:c r="E17" s="26" t="n">
        <x:v>2919000</x:v>
      </x:c>
      <x:c r="F17" s="26" t="n">
        <x:v>52542000</x:v>
      </x:c>
      <x:c r="G17" s="26" t="n">
        <x:v>29973.63</x:v>
      </x:c>
      <x:c r="H17" s="26"/>
      <x:c r="I17" s="26"/>
      <x:c r="J17" s="26"/>
      <x:c r="K17" s="26"/>
      <x:c r="L17" s="26"/>
      <x:c r="M17" s="26"/>
      <x:c r="N17" s="27"/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s="26" t="n">
        <x:v>4390</x:v>
      </x:c>
      <x:c r="F18" s="26" t="n">
        <x:v>127310</x:v>
      </x:c>
      <x:c r="G18" s="26" t="n">
        <x:v>3487.02</x:v>
      </x:c>
      <x:c r="H18" s="26"/>
      <x:c r="I18" s="26"/>
      <x:c r="J18" s="26"/>
      <x:c r="K18" s="26"/>
      <x:c r="L18" s="26"/>
      <x:c r="M18" s="26"/>
      <x:c r="N18" s="27"/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s="26" t="n">
        <x:v>4200</x:v>
      </x:c>
      <x:c r="F19" s="26" t="n">
        <x:v>5451600</x:v>
      </x:c>
      <x:c r="G19" s="26" t="n">
        <x:v>50013.74</x:v>
      </x:c>
      <x:c r="H19" s="26"/>
      <x:c r="I19" s="26"/>
      <x:c r="J19" s="26"/>
      <x:c r="K19" s="26"/>
      <x:c r="L19" s="26"/>
      <x:c r="M19" s="26"/>
      <x:c r="N19" s="27"/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s="26" t="n">
        <x:v>80300</x:v>
      </x:c>
      <x:c r="F20" s="26" t="n">
        <x:v>8270900</x:v>
      </x:c>
      <x:c r="G20" s="26" t="n">
        <x:v>44833.57</x:v>
      </x:c>
      <x:c r="H20" s="26"/>
      <x:c r="I20" s="26"/>
      <x:c r="J20" s="26"/>
      <x:c r="K20" s="26"/>
      <x:c r="L20" s="26"/>
      <x:c r="M20" s="26"/>
      <x:c r="N20" s="27"/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s="26" t="n">
        <x:v>27000</x:v>
      </x:c>
      <x:c r="F21" s="26" t="n">
        <x:v>11070000</x:v>
      </x:c>
      <x:c r="G21" s="26" t="n">
        <x:v>60006.48</x:v>
      </x:c>
      <x:c r="H21" s="26"/>
      <x:c r="I21" s="26"/>
      <x:c r="J21" s="26"/>
      <x:c r="K21" s="26"/>
      <x:c r="L21" s="26"/>
      <x:c r="M21" s="26"/>
      <x:c r="N21" s="27"/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s="26" t="n">
        <x:v>4615</x:v>
      </x:c>
      <x:c r="F22" s="26" t="n">
        <x:v>10148385</x:v>
      </x:c>
      <x:c r="G22" s="26" t="n">
        <x:v>55010.74</x:v>
      </x:c>
      <x:c r="H22" s="26"/>
      <x:c r="I22" s="26"/>
      <x:c r="J22" s="26"/>
      <x:c r="K22" s="26"/>
      <x:c r="L22" s="26"/>
      <x:c r="M22" s="26"/>
      <x:c r="N22" s="27"/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s="26" t="n">
        <x:v>801</x:v>
      </x:c>
      <x:c r="F23" s="26" t="n">
        <x:v>4905324</x:v>
      </x:c>
      <x:c r="G23" s="26" t="n">
        <x:v>45002.13</x:v>
      </x:c>
      <x:c r="H23" s="26"/>
      <x:c r="I23" s="26"/>
      <x:c r="J23" s="26"/>
      <x:c r="K23" s="26"/>
      <x:c r="L23" s="26"/>
      <x:c r="M23" s="26"/>
      <x:c r="N23" s="27"/>
    </x:row>
    <x:row r="24">
      <x:c r="A24" s="18" t="d">
        <x:v>2026-07-06T00:00:00.000Z</x:v>
      </x:c>
      <x:c r="B24" t="str">
        <x:v>A</x:v>
      </x:c>
      <x:c r="C24" s="19" t="n">
        <x:v>6742</x:v>
      </x:c>
      <x:c r="D24" t="str">
        <x:v>Aia Group Ltd</x:v>
      </x:c>
      <x:c r="E24" s="26" t="n">
        <x:v>73.25</x:v>
      </x:c>
      <x:c r="F24" s="26" t="n">
        <x:v>493851.5</x:v>
      </x:c>
      <x:c r="G24" s="26" t="n">
        <x:v>55000.11</x:v>
      </x:c>
      <x:c r="H24" s="26"/>
      <x:c r="I24" s="26"/>
      <x:c r="J24" s="26"/>
      <x:c r="K24" s="26"/>
      <x:c r="L24" s="26"/>
      <x:c r="M24" s="26"/>
      <x:c r="N24" s="27"/>
    </x:row>
    <x:row r="25">
      <x:c r="A25" s="18" t="d">
        <x:v>2026-07-06T00:00:00.000Z</x:v>
      </x:c>
      <x:c r="B25" t="str">
        <x:v>A</x:v>
      </x:c>
      <x:c r="C25" s="19" t="n">
        <x:v>2386</x:v>
      </x:c>
      <x:c r="D25" t="str">
        <x:v>Alibaba</x:v>
      </x:c>
      <x:c r="E25" s="26" t="n">
        <x:v>94.1</x:v>
      </x:c>
      <x:c r="F25" s="26" t="n">
        <x:v>224522.6</x:v>
      </x:c>
      <x:c r="G25" s="26" t="n">
        <x:v>25005.02</x:v>
      </x:c>
      <x:c r="H25" s="26"/>
      <x:c r="I25" s="26"/>
      <x:c r="J25" s="26"/>
      <x:c r="K25" s="26"/>
      <x:c r="L25" s="26"/>
      <x:c r="M25" s="26"/>
      <x:c r="N25" s="27"/>
    </x:row>
    <x:row r="26">
      <x:c r="A26" s="18" t="d">
        <x:v>2026-07-06T00:00:00.000Z</x:v>
      </x:c>
      <x:c r="B26" t="str">
        <x:v>A</x:v>
      </x:c>
      <x:c r="C26" s="19" t="n">
        <x:v>2024</x:v>
      </x:c>
      <x:c r="D26" t="str">
        <x:v>Baidu</x:v>
      </x:c>
      <x:c r="E26" s="26" t="n">
        <x:v>110.9</x:v>
      </x:c>
      <x:c r="F26" s="26" t="n">
        <x:v>224461.6</x:v>
      </x:c>
      <x:c r="G26" s="26" t="n">
        <x:v>24998.23</x:v>
      </x:c>
      <x:c r="H26" s="26"/>
      <x:c r="I26" s="26"/>
      <x:c r="J26" s="26"/>
      <x:c r="K26" s="26"/>
      <x:c r="L26" s="26"/>
      <x:c r="M26" s="26"/>
      <x:c r="N26" s="27"/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s="26" t="n">
        <x:v>125.8</x:v>
      </x:c>
      <x:c r="F27" s="26" t="n">
        <x:v>250845.2</x:v>
      </x:c>
      <x:c r="G27" s="26" t="n">
        <x:v>27774.17</x:v>
      </x:c>
      <x:c r="H27" s="26"/>
      <x:c r="I27" s="26"/>
      <x:c r="J27" s="26"/>
      <x:c r="K27" s="26"/>
      <x:c r="L27" s="26"/>
      <x:c r="M27" s="26"/>
      <x:c r="N27" s="27"/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s="26"/>
      <x:c r="F28" s="26"/>
      <x:c r="G28" s="26"/>
      <x:c r="H28" s="26" t="n">
        <x:v>78.05</x:v>
      </x:c>
      <x:c r="I28" s="26" t="n">
        <x:v>53620.35</x:v>
      </x:c>
      <x:c r="J28" s="26" t="n">
        <x:v>5936.97</x:v>
      </x:c>
      <x:c r="K28" s="26" t="n">
        <x:v>5604.43</x:v>
      </x:c>
      <x:c r="L28" s="26"/>
      <x:c r="M28" s="26" t="n">
        <x:v>332.54</x:v>
      </x:c>
      <x:c r="N28" s="27" t="n">
        <x:v>0.059000000000000004</x:v>
      </x:c>
    </x:row>
    <x:row r="29">
      <x:c r="A29" s="18" t="d">
        <x:v>2026-08-04T00:00:00.000Z</x:v>
      </x:c>
      <x:c r="B29" t="str">
        <x:v>V</x:v>
      </x:c>
      <x:c r="C29" s="19" t="n">
        <x:v>214</x:v>
      </x:c>
      <x:c r="D29" t="str">
        <x:v>Mitsui Kinzoku Co Ltd</x:v>
      </x:c>
      <x:c r="E29" s="26"/>
      <x:c r="F29" s="26"/>
      <x:c r="G29" s="26"/>
      <x:c r="H29" s="26" t="n">
        <x:v>31900</x:v>
      </x:c>
      <x:c r="I29" s="26" t="n">
        <x:v>6826600</x:v>
      </x:c>
      <x:c r="J29" s="26" t="n">
        <x:v>37661.94</x:v>
      </x:c>
      <x:c r="K29" s="26" t="n">
        <x:v>44939.06</x:v>
      </x:c>
      <x:c r="L29" s="26"/>
      <x:c r="M29" s="26" t="n">
        <x:v>-7277.11</x:v>
      </x:c>
      <x:c r="N29" s="27" t="n">
        <x:v>-0.162</x:v>
      </x:c>
    </x:row>
    <x:row r="30">
      <x:c r="A30" s="18" t="d">
        <x:v>2026-08-04T00:00:00.000Z</x:v>
      </x:c>
      <x:c r="B30" t="str">
        <x:v>V</x:v>
      </x:c>
      <x:c r="C30" s="19" t="n">
        <x:v>105</x:v>
      </x:c>
      <x:c r="D30" t="str">
        <x:v>Tokio Marine</x:v>
      </x:c>
      <x:c r="E30" s="26"/>
      <x:c r="F30" s="26"/>
      <x:c r="G30" s="26"/>
      <x:c r="H30" s="26" t="n">
        <x:v>7709</x:v>
      </x:c>
      <x:c r="I30" s="26" t="n">
        <x:v>809445</x:v>
      </x:c>
      <x:c r="J30" s="26" t="n">
        <x:v>4465.66</x:v>
      </x:c>
      <x:c r="K30" s="26" t="n">
        <x:v>4316.56</x:v>
      </x:c>
      <x:c r="L30" s="26"/>
      <x:c r="M30" s="26" t="n">
        <x:v>149.1</x:v>
      </x:c>
      <x:c r="N30" s="27" t="n">
        <x:v>0.035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s="26"/>
      <x:c r="F31" s="26"/>
      <x:c r="G31" s="26"/>
      <x:c r="H31" s="26" t="n">
        <x:v>2918.5</x:v>
      </x:c>
      <x:c r="I31" s="26" t="n">
        <x:v>779239.5</x:v>
      </x:c>
      <x:c r="J31" s="26" t="n">
        <x:v>4299.02</x:v>
      </x:c>
      <x:c r="K31" s="26" t="n">
        <x:v>4093</x:v>
      </x:c>
      <x:c r="L31" s="26"/>
      <x:c r="M31" s="26" t="n">
        <x:v>206.02</x:v>
      </x:c>
      <x:c r="N31" s="27" t="n">
        <x:v>0.05</x:v>
      </x:c>
    </x:row>
    <x:row r="32">
      <x:c r="A32" s="18" t="d">
        <x:v>2026-08-04T00:00:00.000Z</x:v>
      </x:c>
      <x:c r="B32" t="str">
        <x:v>A</x:v>
      </x:c>
      <x:c r="C32" s="19" t="n">
        <x:v>24</x:v>
      </x:c>
      <x:c r="D32" t="str">
        <x:v>Tokyo Electron</x:v>
      </x:c>
      <x:c r="E32" s="26" t="n">
        <x:v>56700</x:v>
      </x:c>
      <x:c r="F32" s="26" t="n">
        <x:v>1360800</x:v>
      </x:c>
      <x:c r="G32" s="26" t="n">
        <x:v>7507.45</x:v>
      </x:c>
      <x:c r="H32" s="26"/>
      <x:c r="I32" s="26"/>
      <x:c r="J32" s="26"/>
      <x:c r="K32" s="26"/>
      <x:c r="L32" s="26"/>
      <x:c r="M32" s="26"/>
      <x:c r="N32" s="27"/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s="26"/>
      <x:c r="F33" s="26"/>
      <x:c r="G33" s="26"/>
      <x:c r="H33" s="26" t="n">
        <x:v>487.6</x:v>
      </x:c>
      <x:c r="I33" s="26" t="n">
        <x:v>88255.6</x:v>
      </x:c>
      <x:c r="J33" s="26" t="n">
        <x:v>9771.87</x:v>
      </x:c>
      <x:c r="K33" s="26" t="n">
        <x:v>8692.1</x:v>
      </x:c>
      <x:c r="L33" s="26"/>
      <x:c r="M33" s="26" t="n">
        <x:v>1079.77</x:v>
      </x:c>
      <x:c r="N33" s="27" t="n">
        <x:v>0.124</x:v>
      </x:c>
    </x:row>
    <x:row r="34">
      <x:c r="A34" s="18" t="d">
        <x:v>2026-08-04T00:00:00.000Z</x:v>
      </x:c>
      <x:c r="B34" t="str">
        <x:v>A</x:v>
      </x:c>
      <x:c r="C34" s="19" t="n">
        <x:v>8</x:v>
      </x:c>
      <x:c r="D34" t="str">
        <x:v>SK Hynix Inc</x:v>
      </x:c>
      <x:c r="E34" s="26" t="n">
        <x:v>1718000</x:v>
      </x:c>
      <x:c r="F34" s="26" t="n">
        <x:v>13744000</x:v>
      </x:c>
      <x:c r="G34" s="26" t="n">
        <x:v>8363.5</x:v>
      </x:c>
      <x:c r="H34" s="26"/>
      <x:c r="I34" s="26"/>
      <x:c r="J34" s="26"/>
      <x:c r="K34" s="26"/>
      <x:c r="L34" s="26"/>
      <x:c r="M34" s="26"/>
      <x:c r="N34" s="27"/>
    </x:row>
    <x:row r="35">
      <x:c r="A35" s="18" t="d">
        <x:v>2026-08-04T00:00:00.000Z</x:v>
      </x:c>
      <x:c r="B35" t="str">
        <x:v>A</x:v>
      </x:c>
      <x:c r="C35" s="19" t="n">
        <x:v>1021</x:v>
      </x:c>
      <x:c r="D35" t="str">
        <x:v>Taiwan Semiconductor Manufact.</x:v>
      </x:c>
      <x:c r="E35" s="26" t="n">
        <x:v>2320</x:v>
      </x:c>
      <x:c r="F35" s="26" t="n">
        <x:v>2368720</x:v>
      </x:c>
      <x:c r="G35" s="26" t="n">
        <x:v>63363.26</x:v>
      </x:c>
      <x:c r="H35" s="26"/>
      <x:c r="I35" s="26"/>
      <x:c r="J35" s="26"/>
      <x:c r="K35" s="26"/>
      <x:c r="L35" s="26"/>
      <x:c r="M35" s="26"/>
      <x:c r="N35" s="27"/>
    </x:row>
    <x:row r="36">
      <x:c r="A36" s="18" t="d">
        <x:v>2026-08-04T00:00:00.000Z</x:v>
      </x:c>
      <x:c r="B36" t="str">
        <x:v>V</x:v>
      </x:c>
      <x:c r="C36" s="19" t="n">
        <x:v>123</x:v>
      </x:c>
      <x:c r="D36" t="str">
        <x:v>Sony</x:v>
      </x:c>
      <x:c r="E36" s="26"/>
      <x:c r="F36" s="26"/>
      <x:c r="G36" s="26"/>
      <x:c r="H36" s="26" t="n">
        <x:v>3539</x:v>
      </x:c>
      <x:c r="I36" s="26" t="n">
        <x:v>435297</x:v>
      </x:c>
      <x:c r="J36" s="26" t="n">
        <x:v>2401.51</x:v>
      </x:c>
      <x:c r="K36" s="26" t="n">
        <x:v>2253.58</x:v>
      </x:c>
      <x:c r="L36" s="26"/>
      <x:c r="M36" s="26" t="n">
        <x:v>147.93</x:v>
      </x:c>
      <x:c r="N36" s="27" t="n">
        <x:v>0.066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s="26" t="n">
        <x:v>240000</x:v>
      </x:c>
      <x:c r="F37" s="26" t="n">
        <x:v>16800000</x:v>
      </x:c>
      <x:c r="G37" s="26" t="n">
        <x:v>10223.14</x:v>
      </x:c>
      <x:c r="H37" s="26"/>
      <x:c r="I37" s="26"/>
      <x:c r="J37" s="26"/>
      <x:c r="K37" s="26"/>
      <x:c r="L37" s="26"/>
      <x:c r="M37" s="26"/>
      <x:c r="N37" s="27"/>
    </x:row>
    <x:row r="38">
      <x:c r="A38" s="18" t="d">
        <x:v>2026-08-04T00:00:00.000Z</x:v>
      </x:c>
      <x:c r="B38" t="str">
        <x:v>V</x:v>
      </x:c>
      <x:c r="C38" s="19" t="n">
        <x:v>3504</x:v>
      </x:c>
      <x:c r="D38" t="str">
        <x:v>Nestle India Ltd</x:v>
      </x:c>
      <x:c r="E38" s="26"/>
      <x:c r="F38" s="26"/>
      <x:c r="G38" s="26"/>
      <x:c r="H38" s="26" t="n">
        <x:v>1400</x:v>
      </x:c>
      <x:c r="I38" s="26" t="n">
        <x:v>4905600</x:v>
      </x:c>
      <x:c r="J38" s="26" t="n">
        <x:v>44665.98</x:v>
      </x:c>
      <x:c r="K38" s="26" t="n">
        <x:v>45004.66</x:v>
      </x:c>
      <x:c r="L38" s="26"/>
      <x:c r="M38" s="26" t="n">
        <x:v>-338.68</x:v>
      </x:c>
      <x:c r="N38" s="27" t="n">
        <x:v>-0.008</x:v>
      </x:c>
    </x:row>
    <x:row r="39">
      <x:c r="A39" s="18" t="d">
        <x:v>2026-08-04T00:00:00.000Z</x:v>
      </x:c>
      <x:c r="B39" t="str">
        <x:v>V</x:v>
      </x:c>
      <x:c r="C39" s="19" t="n">
        <x:v>192</x:v>
      </x:c>
      <x:c r="D39" t="str">
        <x:v>Nu Holdings Ltd Class A</x:v>
      </x:c>
      <x:c r="E39" s="26"/>
      <x:c r="F39" s="26"/>
      <x:c r="G39" s="26"/>
      <x:c r="H39" s="26" t="n">
        <x:v>14.33</x:v>
      </x:c>
      <x:c r="I39" s="26" t="n">
        <x:v>2751.36</x:v>
      </x:c>
      <x:c r="J39" s="26" t="n">
        <x:v>2389.37</x:v>
      </x:c>
      <x:c r="K39" s="26" t="n">
        <x:v>2282.6</x:v>
      </x:c>
      <x:c r="L39" s="26"/>
      <x:c r="M39" s="26" t="n">
        <x:v>106.77</x:v>
      </x:c>
      <x:c r="N39" s="27" t="n">
        <x:v>0.047</x:v>
      </x:c>
    </x:row>
    <x:row r="40">
      <x:c r="A40" s="18" t="d">
        <x:v>2026-08-04T00:00:00.000Z</x:v>
      </x:c>
      <x:c r="B40" t="str">
        <x:v>A</x:v>
      </x:c>
      <x:c r="C40" s="19" t="n">
        <x:v>2347</x:v>
      </x:c>
      <x:c r="D40" t="str">
        <x:v>Mitsubishi UFJ Financial</x:v>
      </x:c>
      <x:c r="E40" s="26" t="n">
        <x:v>3470</x:v>
      </x:c>
      <x:c r="F40" s="26" t="n">
        <x:v>8144090</x:v>
      </x:c>
      <x:c r="G40" s="26" t="n">
        <x:v>44930.46</x:v>
      </x:c>
      <x:c r="H40" s="26"/>
      <x:c r="I40" s="26"/>
      <x:c r="J40" s="26"/>
      <x:c r="K40" s="26"/>
      <x:c r="L40" s="26"/>
      <x:c r="M40" s="26"/>
      <x:c r="N40" s="27"/>
    </x:row>
    <x:row r="41">
      <x:c r="A41" s="18" t="d">
        <x:v>2026-08-04T00:00:00.000Z</x:v>
      </x:c>
      <x:c r="B41" t="str">
        <x:v>V</x:v>
      </x:c>
      <x:c r="C41" s="19" t="n">
        <x:v>2</x:v>
      </x:c>
      <x:c r="D41" t="str">
        <x:v>MercadoLibre</x:v>
      </x:c>
      <x:c r="E41" s="26"/>
      <x:c r="F41" s="26"/>
      <x:c r="G41" s="26"/>
      <x:c r="H41" s="26" t="n">
        <x:v>1888.5</x:v>
      </x:c>
      <x:c r="I41" s="26" t="n">
        <x:v>3777</x:v>
      </x:c>
      <x:c r="J41" s="26" t="n">
        <x:v>3280.07</x:v>
      </x:c>
      <x:c r="K41" s="26" t="n">
        <x:v>3080.64</x:v>
      </x:c>
      <x:c r="L41" s="26"/>
      <x:c r="M41" s="26" t="n">
        <x:v>199.43</x:v>
      </x:c>
      <x:c r="N41" s="27" t="n">
        <x:v>0.065</x:v>
      </x:c>
    </x:row>
    <x:row r="42">
      <x:c r="A42" s="18" t="d">
        <x:v>2026-08-04T00:00:00.000Z</x:v>
      </x:c>
      <x:c r="B42" t="str">
        <x:v>A</x:v>
      </x:c>
      <x:c r="C42" s="19" t="n">
        <x:v>53</x:v>
      </x:c>
      <x:c r="D42" t="str">
        <x:v>Larsen &amp; Toubro Limited</x:v>
      </x:c>
      <x:c r="E42" s="26" t="n">
        <x:v>4060.35</x:v>
      </x:c>
      <x:c r="F42" s="26" t="n">
        <x:v>215198.55</x:v>
      </x:c>
      <x:c r="G42" s="26" t="n">
        <x:v>1959.4</x:v>
      </x:c>
      <x:c r="H42" s="26"/>
      <x:c r="I42" s="26"/>
      <x:c r="J42" s="26"/>
      <x:c r="K42" s="26"/>
      <x:c r="L42" s="26"/>
      <x:c r="M42" s="26"/>
      <x:c r="N42" s="27"/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s="26" t="n">
        <x:v>3555</x:v>
      </x:c>
      <x:c r="F43" s="26" t="n">
        <x:v>1002510</x:v>
      </x:c>
      <x:c r="G43" s="26" t="n">
        <x:v>26817.14</x:v>
      </x:c>
      <x:c r="H43" s="26"/>
      <x:c r="I43" s="26"/>
      <x:c r="J43" s="26"/>
      <x:c r="K43" s="26"/>
      <x:c r="L43" s="26"/>
      <x:c r="M43" s="26"/>
      <x:c r="N43" s="27"/>
    </x:row>
    <x:row r="44">
      <x:c r="A44" s="18" t="d">
        <x:v>2026-08-04T00:00:00.000Z</x:v>
      </x:c>
      <x:c r="B44" t="str">
        <x:v>V</x:v>
      </x:c>
      <x:c r="C44" s="19" t="n">
        <x:v>286</x:v>
      </x:c>
      <x:c r="D44" t="str">
        <x:v>Hitachi</x:v>
      </x:c>
      <x:c r="E44" s="26"/>
      <x:c r="F44" s="26"/>
      <x:c r="G44" s="26"/>
      <x:c r="H44" s="26" t="n">
        <x:v>5412</x:v>
      </x:c>
      <x:c r="I44" s="26" t="n">
        <x:v>1547832</x:v>
      </x:c>
      <x:c r="J44" s="26" t="n">
        <x:v>8539.3</x:v>
      </x:c>
      <x:c r="K44" s="26" t="n">
        <x:v>7154.65</x:v>
      </x:c>
      <x:c r="L44" s="26"/>
      <x:c r="M44" s="26" t="n">
        <x:v>1384.65</x:v>
      </x:c>
      <x:c r="N44" s="27" t="n">
        <x:v>0.19399999999999998</x:v>
      </x:c>
    </x:row>
    <x:row r="45">
      <x:c r="A45" s="18" t="d">
        <x:v>2026-08-04T00:00:00.000Z</x:v>
      </x:c>
      <x:c r="B45" t="str">
        <x:v>V</x:v>
      </x:c>
      <x:c r="C45" s="19" t="n">
        <x:v>47</x:v>
      </x:c>
      <x:c r="D45" t="str">
        <x:v>HOYA Corporation</x:v>
      </x:c>
      <x:c r="E45" s="26"/>
      <x:c r="F45" s="26"/>
      <x:c r="G45" s="26"/>
      <x:c r="H45" s="26" t="n">
        <x:v>27000</x:v>
      </x:c>
      <x:c r="I45" s="26" t="n">
        <x:v>1269000</x:v>
      </x:c>
      <x:c r="J45" s="26" t="n">
        <x:v>7001</x:v>
      </x:c>
      <x:c r="K45" s="26" t="n">
        <x:v>6878.79</x:v>
      </x:c>
      <x:c r="L45" s="26"/>
      <x:c r="M45" s="26" t="n">
        <x:v>122.2</x:v>
      </x:c>
      <x:c r="N45" s="27" t="n">
        <x:v>0.018000000000000002</x:v>
      </x:c>
    </x:row>
    <x:row r="46">
      <x:c r="A46" s="18" t="d">
        <x:v>2026-08-04T00:00:00.000Z</x:v>
      </x:c>
      <x:c r="B46" t="str">
        <x:v>V</x:v>
      </x:c>
      <x:c r="C46" s="19" t="n">
        <x:v>11</x:v>
      </x:c>
      <x:c r="D46" t="str">
        <x:v>Keyence</x:v>
      </x:c>
      <x:c r="E46" s="26"/>
      <x:c r="F46" s="26"/>
      <x:c r="G46" s="26"/>
      <x:c r="H46" s="26" t="n">
        <x:v>82900</x:v>
      </x:c>
      <x:c r="I46" s="26" t="n">
        <x:v>911900</x:v>
      </x:c>
      <x:c r="J46" s="26" t="n">
        <x:v>5030.9</x:v>
      </x:c>
      <x:c r="K46" s="26" t="n">
        <x:v>4788.05</x:v>
      </x:c>
      <x:c r="L46" s="26"/>
      <x:c r="M46" s="26" t="n">
        <x:v>242.85</x:v>
      </x:c>
      <x:c r="N46" s="27" t="n">
        <x:v>0.051</x:v>
      </x:c>
    </x:row>
    <x:row r="47">
      <x:c r="A47" s="18" t="d">
        <x:v>2026-08-04T00:00:00.000Z</x:v>
      </x:c>
      <x:c r="B47" t="str">
        <x:v>A</x:v>
      </x:c>
      <x:c r="C47" s="19" t="n">
        <x:v>546</x:v>
      </x:c>
      <x:c r="D47" t="str">
        <x:v>HDFC Bank</x:v>
      </x:c>
      <x:c r="E47" s="26" t="n">
        <x:v>739.95</x:v>
      </x:c>
      <x:c r="F47" s="26" t="n">
        <x:v>404012.7</x:v>
      </x:c>
      <x:c r="G47" s="26" t="n">
        <x:v>3678.58</x:v>
      </x:c>
      <x:c r="H47" s="26"/>
      <x:c r="I47" s="26"/>
      <x:c r="J47" s="26"/>
      <x:c r="K47" s="26"/>
      <x:c r="L47" s="26"/>
      <x:c r="M47" s="26"/>
      <x:c r="N47" s="27"/>
    </x:row>
    <x:row r="48">
      <x:c r="A48" s="18" t="d">
        <x:v>2026-08-04T00:00:00.000Z</x:v>
      </x:c>
      <x:c r="B48" t="str">
        <x:v>A</x:v>
      </x:c>
      <x:c r="C48" s="19" t="n">
        <x:v>1064</x:v>
      </x:c>
      <x:c r="D48" t="str">
        <x:v>Delta Electronics Inc.</x:v>
      </x:c>
      <x:c r="E48" s="26" t="n">
        <x:v>1620</x:v>
      </x:c>
      <x:c r="F48" s="26" t="n">
        <x:v>1723680</x:v>
      </x:c>
      <x:c r="G48" s="26" t="n">
        <x:v>46108.44</x:v>
      </x:c>
      <x:c r="H48" s="26"/>
      <x:c r="I48" s="26"/>
      <x:c r="J48" s="26"/>
      <x:c r="K48" s="26"/>
      <x:c r="L48" s="26"/>
      <x:c r="M48" s="26"/>
      <x:c r="N48" s="27"/>
    </x:row>
    <x:row r="49">
      <x:c r="A49" s="18" t="d">
        <x:v>2026-08-04T00:00:00.000Z</x:v>
      </x:c>
      <x:c r="B49" t="str">
        <x:v>A</x:v>
      </x:c>
      <x:c r="C49" s="19" t="n">
        <x:v>2166</x:v>
      </x:c>
      <x:c r="D49" t="str">
        <x:v>Baidu</x:v>
      </x:c>
      <x:c r="E49" s="26" t="n">
        <x:v>110.2</x:v>
      </x:c>
      <x:c r="F49" s="26" t="n">
        <x:v>238693.2</x:v>
      </x:c>
      <x:c r="G49" s="26" t="n">
        <x:v>26428.67</x:v>
      </x:c>
      <x:c r="H49" s="26"/>
      <x:c r="I49" s="26"/>
      <x:c r="J49" s="26"/>
      <x:c r="K49" s="26"/>
      <x:c r="L49" s="26"/>
      <x:c r="M49" s="26"/>
      <x:c r="N49" s="27"/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s="26"/>
      <x:c r="F50" s="26"/>
      <x:c r="G50" s="26"/>
      <x:c r="H50" s="26"/>
      <x:c r="I50" s="26"/>
      <x:c r="J50" s="26"/>
      <x:c r="K50" s="26"/>
      <x:c r="L50" s="26"/>
      <x:c r="M50" s="26"/>
      <x:c r="N50" s="27"/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s="26"/>
      <x:c r="F51" s="26"/>
      <x:c r="G51" s="26"/>
      <x:c r="H51" s="26"/>
      <x:c r="I51" s="26"/>
      <x:c r="J51" s="26"/>
      <x:c r="K51" s="26"/>
      <x:c r="L51" s="26"/>
      <x:c r="M51" s="26"/>
      <x:c r="N51" s="27"/>
    </x:row>
  </x:sheetData>
  <x:pageMargins left="0.7" right="0.7" top="0.75" bottom="0.75" header="0.3" footer="0.3"/>
  <x:tableParts count="1">
    <x:tablePart xmlns:r="http://schemas.openxmlformats.org/officeDocument/2006/relationships" r:id="R845f9db3784642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transactions not used by a best-effort match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MITSUBISHI UFJ FINANCIAL GRO</x:v>
      </x:c>
      <x:c r="C35" t="str">
        <x:v>JP3902900004</x:v>
      </x:c>
      <x:c r="D35" t="str">
        <x:v>SELL</x:v>
      </x:c>
      <x:c r="E35" s="19" t="n">
        <x:v>34</x:v>
      </x:c>
      <x:c r="F35" t="str">
        <x:v>-</x:v>
      </x:c>
      <x:c r="G35" t="str">
        <x:v>MARKET</x:v>
      </x:c>
      <x:c r="H35" t="str">
        <x:v>MITSUBISHI UFJ FINANCIAL GRO</x:v>
      </x:c>
    </x:row>
    <x:row r="36">
      <x:c r="A36" s="18" t="d">
        <x:v>2026-08-31T00:00:00.000Z</x:v>
      </x:c>
      <x:c r="B36" t="str">
        <x:v>TOKYO ELECTRON LTD</x:v>
      </x:c>
      <x:c r="C36" t="str">
        <x:v>JP3571400005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TOKYO ELECTRON LTD</x:v>
      </x:c>
    </x:row>
    <x:row r="37">
      <x:c r="A37" s="18" t="d">
        <x:v>2026-08-31T00:00:00.000Z</x:v>
      </x:c>
      <x:c r="B37" t="str">
        <x:v>DELTA ELECTRONICS INC</x:v>
      </x:c>
      <x:c r="C37" t="str">
        <x:v>TW0002308004</x:v>
      </x:c>
      <x:c r="D37" t="str">
        <x:v>SELL</x:v>
      </x:c>
      <x:c r="E37" s="19" t="n">
        <x:v>10</x:v>
      </x:c>
      <x:c r="F37" t="str">
        <x:v>-</x:v>
      </x:c>
      <x:c r="G37" t="str">
        <x:v>MARKET</x:v>
      </x:c>
      <x:c r="H37" t="str">
        <x:v>DELTA ELECTRONICS INC</x:v>
      </x:c>
    </x:row>
    <x:row r="38">
      <x:c r="A38" s="18" t="d">
        <x:v>2026-08-31T00:00:00.000Z</x:v>
      </x:c>
      <x:c r="B38" t="str">
        <x:v>LARSEN &amp; TOUBRO-GDR REG S</x:v>
      </x:c>
      <x:c r="C38" t="str">
        <x:v>USY5217N1183</x:v>
      </x:c>
      <x:c r="D38" t="str">
        <x:v>SELL</x:v>
      </x:c>
      <x:c r="E38" s="19" t="n">
        <x:v>5</x:v>
      </x:c>
      <x:c r="F38" t="str">
        <x:v>42.4 USD</x:v>
      </x:c>
      <x:c r="G38" t="str">
        <x:v>MARKET</x:v>
      </x:c>
      <x:c r="H38" t="str">
        <x:v>LARSEN &amp; TOUBRO-GDR REG S</x:v>
      </x:c>
    </x:row>
    <x:row r="39">
      <x:c r="A39" s="18" t="d">
        <x:v>2026-08-31T00:00:00.000Z</x:v>
      </x:c>
      <x:c r="B39" t="str">
        <x:v>ALIBABA GROUP HOLDING LTD</x:v>
      </x:c>
      <x:c r="C39" t="str">
        <x:v>KYG017191142</x:v>
      </x:c>
      <x:c r="D39" t="str">
        <x:v>SELL</x:v>
      </x:c>
      <x:c r="E39" s="19" t="n">
        <x:v>30</x:v>
      </x:c>
      <x:c r="F39" t="str">
        <x:v>-</x:v>
      </x:c>
      <x:c r="G39" t="str">
        <x:v>MARKET</x:v>
      </x:c>
      <x:c r="H39" t="str">
        <x:v>ALIBABA GROUP HOLDING LTD</x:v>
      </x:c>
    </x:row>
    <x:row r="40">
      <x:c r="A40" s="18" t="d">
        <x:v>2026-08-31T00:00:00.000Z</x:v>
      </x:c>
      <x:c r="B40" t="str">
        <x:v>BAIDU INC-CLASS A</x:v>
      </x:c>
      <x:c r="C40" t="str">
        <x:v>KYG070341048</x:v>
      </x:c>
      <x:c r="D40" t="str">
        <x:v>SELL</x:v>
      </x:c>
      <x:c r="E40" s="19" t="n">
        <x:v>30</x:v>
      </x:c>
      <x:c r="F40" t="str">
        <x:v>-</x:v>
      </x:c>
      <x:c r="G40" t="str">
        <x:v>MARKET</x:v>
      </x:c>
      <x:c r="H40" t="str">
        <x:v>BAIDU INC-CLASS A</x:v>
      </x:c>
    </x:row>
    <x:row r="41">
      <x:c r="A41" s="18" t="d">
        <x:v>2026-08-31T00:00:00.000Z</x:v>
      </x:c>
      <x:c r="B41" t="str">
        <x:v>NU HOLDINGS LTD/CAYMAN ISL-A</x:v>
      </x:c>
      <x:c r="C41" t="str">
        <x:v>KYG6683N1034</x:v>
      </x:c>
      <x:c r="D41" t="str">
        <x:v>SELL</x:v>
      </x:c>
      <x:c r="E41" s="19" t="n">
        <x:v>6</x:v>
      </x:c>
      <x:c r="F41" t="str">
        <x:v>14.35 USD</x:v>
      </x:c>
      <x:c r="G41" t="str">
        <x:v>MARKET</x:v>
      </x:c>
      <x:c r="H41" t="str">
        <x:v>NU HOLDINGS LTD/CAYMAN ISL-A</x:v>
      </x:c>
    </x:row>
    <x:row r="42">
      <x:c r="A42" s="18" t="d">
        <x:v>2026-08-31T00:00:00.000Z</x:v>
      </x:c>
      <x:c r="B42" t="str">
        <x:v>SK HYNIX INC-ADR W/I</x:v>
      </x:c>
      <x:c r="C42" t="str">
        <x:v>US78392B2060</x:v>
      </x:c>
      <x:c r="D42" t="str">
        <x:v>SELL</x:v>
      </x:c>
      <x:c r="E42" s="19" t="n">
        <x:v>1</x:v>
      </x:c>
      <x:c r="F42" t="str">
        <x:v>160.97 USD</x:v>
      </x:c>
      <x:c r="G42" t="str">
        <x:v>MARKET</x:v>
      </x:c>
      <x:c r="H42" t="str">
        <x:v>SK HYNIX INC-ADR W/I</x:v>
      </x:c>
    </x:row>
    <x:row r="43">
      <x:c r="A43" s="18" t="d">
        <x:v>2026-08-31T00:00:00.000Z</x:v>
      </x:c>
      <x:c r="B43" t="str">
        <x:v>AIA GROUP LTD</x:v>
      </x:c>
      <x:c r="C43" t="str">
        <x:v>HK0000069689</x:v>
      </x:c>
      <x:c r="D43" t="str">
        <x:v>SELL</x:v>
      </x:c>
      <x:c r="E43" s="19" t="n">
        <x:v>98</x:v>
      </x:c>
      <x:c r="F43" t="str">
        <x:v>-</x:v>
      </x:c>
      <x:c r="G43" t="str">
        <x:v>MARKET</x:v>
      </x:c>
      <x:c r="H43" t="str">
        <x:v>AIA GROUP LTD</x:v>
      </x:c>
    </x:row>
    <x:row r="44">
      <x:c r="A44" s="18" t="d">
        <x:v>2026-08-31T00:00:00.000Z</x:v>
      </x:c>
      <x:c r="B44" t="str">
        <x:v>ALIBABA GROUP HOLDING LTD</x:v>
      </x:c>
      <x:c r="C44" t="str">
        <x:v>KYG017191142</x:v>
      </x:c>
      <x:c r="D44" t="str">
        <x:v>SELL</x:v>
      </x:c>
      <x:c r="E44" s="19" t="n">
        <x:v>27</x:v>
      </x:c>
      <x:c r="F44" t="str">
        <x:v>-</x:v>
      </x:c>
      <x:c r="G44" t="str">
        <x:v>MARKET</x:v>
      </x:c>
      <x:c r="H44" t="str">
        <x:v>ALIBABA GROUP HOLDING LTD</x:v>
      </x:c>
    </x:row>
    <x:row r="45">
      <x:c r="A45" s="18" t="d">
        <x:v>2026-08-31T00:00:00.000Z</x:v>
      </x:c>
      <x:c r="B45" t="str">
        <x:v>BAIDU INC-CLASS A</x:v>
      </x:c>
      <x:c r="C45" t="str">
        <x:v>KYG070341048</x:v>
      </x:c>
      <x:c r="D45" t="str">
        <x:v>SELL</x:v>
      </x:c>
      <x:c r="E45" s="19" t="n">
        <x:v>27</x:v>
      </x:c>
      <x:c r="F45" t="str">
        <x:v>-</x:v>
      </x:c>
      <x:c r="G45" t="str">
        <x:v>MARKET</x:v>
      </x:c>
      <x:c r="H45" t="str">
        <x:v>BAIDU INC-CLASS A</x:v>
      </x:c>
    </x:row>
    <x:row r="46">
      <x:c r="A46" s="18" t="d">
        <x:v>2026-08-31T00:00:00.000Z</x:v>
      </x:c>
      <x:c r="B46" t="str">
        <x:v>DELTA ELECTRONICS INC</x:v>
      </x:c>
      <x:c r="C46" t="str">
        <x:v>TW0002308004</x:v>
      </x:c>
      <x:c r="D46" t="str">
        <x:v>SELL</x:v>
      </x:c>
      <x:c r="E46" s="19" t="n">
        <x:v>4</x:v>
      </x:c>
      <x:c r="F46" t="str">
        <x:v>-</x:v>
      </x:c>
      <x:c r="G46" t="str">
        <x:v>MARKET</x:v>
      </x:c>
      <x:c r="H46" t="str">
        <x:v>DELTA ELECTRONICS INC</x:v>
      </x:c>
    </x:row>
    <x:row r="47">
      <x:c r="A47" s="18" t="d">
        <x:v>2026-08-31T00:00:00.000Z</x:v>
      </x:c>
      <x:c r="B47" t="str">
        <x:v>MEDIATEK INC</x:v>
      </x:c>
      <x:c r="C47" t="str">
        <x:v>TW0002454006</x:v>
      </x:c>
      <x:c r="D47" t="str">
        <x:v>BUY</x:v>
      </x:c>
      <x:c r="E47" s="19" t="n">
        <x:v>5</x:v>
      </x:c>
      <x:c r="F47" t="str">
        <x:v>-</x:v>
      </x:c>
      <x:c r="G47" t="str">
        <x:v>MARKET</x:v>
      </x:c>
      <x:c r="H47" t="str">
        <x:v>MEDIATEK INC</x:v>
      </x:c>
    </x:row>
    <x:row r="48">
      <x:c r="A48" s="18" t="d">
        <x:v>2026-08-31T00:00:00.000Z</x:v>
      </x:c>
      <x:c r="B48" t="str">
        <x:v>TENCENT HOLDINGS LTD</x:v>
      </x:c>
      <x:c r="C48" t="str">
        <x:v>KYG875721634</x:v>
      </x:c>
      <x:c r="D48" t="str">
        <x:v>SELL</x:v>
      </x:c>
      <x:c r="E48" s="19" t="n">
        <x:v>16</x:v>
      </x:c>
      <x:c r="F48" t="str">
        <x:v>-</x:v>
      </x:c>
      <x:c r="G48" t="str">
        <x:v>MARKET</x:v>
      </x:c>
      <x:c r="H48" t="str">
        <x:v>TENCENT HOLDINGS LTD</x:v>
      </x:c>
    </x:row>
    <x:row r="49">
      <x:c r="A49" s="18" t="d">
        <x:v>2026-08-31T00:00:00.000Z</x:v>
      </x:c>
      <x:c r="B49" t="str">
        <x:v>LARSEN &amp; TOUBRO-GDR REG S</x:v>
      </x:c>
      <x:c r="C49" t="str">
        <x:v>USY5217N1183</x:v>
      </x:c>
      <x:c r="D49" t="str">
        <x:v>SELL</x:v>
      </x:c>
      <x:c r="E49" s="19" t="n">
        <x:v>5</x:v>
      </x:c>
      <x:c r="F49" t="str">
        <x:v>-</x:v>
      </x:c>
      <x:c r="G49" t="str">
        <x:v>MARKET</x:v>
      </x:c>
      <x:c r="H49" t="str">
        <x:v>LARSEN &amp; TOUBRO-GDR REG S</x:v>
      </x:c>
    </x:row>
    <x:row r="50">
      <x:c r="A50" s="18" t="d">
        <x:v>2026-08-14T00:00:00.000Z</x:v>
      </x:c>
      <x:c r="B50" t="str">
        <x:v>DELTA ELECTRONICS INC</x:v>
      </x:c>
      <x:c r="C50" t="str">
        <x:v>-</x:v>
      </x:c>
      <x:c r="D50" t="str">
        <x:v>BUY</x:v>
      </x:c>
      <x:c r="E50" s="19" t="n">
        <x:v>30</x:v>
      </x:c>
      <x:c r="F50" t="str">
        <x:v>1'940 TWD</x:v>
      </x:c>
      <x:c r="G50" t="str">
        <x:v>MARKET</x:v>
      </x:c>
      <x:c r="H50" t="str">
        <x:v>DELTA ELECTRONICS INC</x:v>
      </x:c>
    </x:row>
    <x:row r="51">
      <x:c r="A51" s="18" t="d">
        <x:v>2026-08-14T00:00:00.000Z</x:v>
      </x:c>
      <x:c r="B51" t="str">
        <x:v>HITACHI LTD</x:v>
      </x:c>
      <x:c r="C51" t="str">
        <x:v>-</x:v>
      </x:c>
      <x:c r="D51" t="str">
        <x:v>BUY</x:v>
      </x:c>
      <x:c r="E51" s="19" t="n">
        <x:v>23</x:v>
      </x:c>
      <x:c r="F51" t="str">
        <x:v>5'623 JPY</x:v>
      </x:c>
      <x:c r="G51" t="str">
        <x:v>MARKET</x:v>
      </x:c>
      <x:c r="H51" t="str">
        <x:v>HITACHI LTD</x:v>
      </x:c>
    </x:row>
    <x:row r="52">
      <x:c r="A52" s="18" t="d">
        <x:v>2026-08-14T00:00:00.000Z</x:v>
      </x:c>
      <x:c r="B52" t="str">
        <x:v>HOYA CORP</x:v>
      </x:c>
      <x:c r="C52" t="str">
        <x:v>-</x:v>
      </x:c>
      <x:c r="D52" t="str">
        <x:v>BUY</x:v>
      </x:c>
      <x:c r="E52" s="19" t="n">
        <x:v>8</x:v>
      </x:c>
      <x:c r="F52" t="str">
        <x:v>26'330 JPY</x:v>
      </x:c>
      <x:c r="G52" t="str">
        <x:v>MARKET</x:v>
      </x:c>
      <x:c r="H52" t="str">
        <x:v>HOYA CORP</x:v>
      </x:c>
    </x:row>
    <x:row r="53">
      <x:c r="A53" s="18" t="d">
        <x:v>2026-08-14T00:00:00.000Z</x:v>
      </x:c>
      <x:c r="B53" t="str">
        <x:v>KEYENCE CORP</x:v>
      </x:c>
      <x:c r="C53" t="str">
        <x:v>-</x:v>
      </x:c>
      <x:c r="D53" t="str">
        <x:v>BUY</x:v>
      </x:c>
      <x:c r="E53" s="19" t="n">
        <x:v>1</x:v>
      </x:c>
      <x:c r="F53" t="str">
        <x:v>86'370 JPY</x:v>
      </x:c>
      <x:c r="G53" t="str">
        <x:v>MARKET</x:v>
      </x:c>
      <x:c r="H53" t="str">
        <x:v>KEYENCE CORP</x:v>
      </x:c>
    </x:row>
    <x:row r="54">
      <x:c r="A54" s="18" t="d">
        <x:v>2026-08-14T00:00:00.000Z</x:v>
      </x:c>
      <x:c r="B54" t="str">
        <x:v>MEDIATEK INC</x:v>
      </x:c>
      <x:c r="C54" t="str">
        <x:v>-</x:v>
      </x:c>
      <x:c r="D54" t="str">
        <x:v>BUY</x:v>
      </x:c>
      <x:c r="E54" s="19" t="n">
        <x:v>9</x:v>
      </x:c>
      <x:c r="F54" t="str">
        <x:v>4'100 TWD</x:v>
      </x:c>
      <x:c r="G54" t="str">
        <x:v>MARKET</x:v>
      </x:c>
      <x:c r="H54" t="str">
        <x:v>MEDIATEK INC</x:v>
      </x:c>
    </x:row>
    <x:row r="55">
      <x:c r="A55" s="18" t="d">
        <x:v>2026-08-14T00:00:00.000Z</x:v>
      </x:c>
      <x:c r="B55" t="str">
        <x:v>MITSUBISHI UFJ FINANCIAL GRO</x:v>
      </x:c>
      <x:c r="C55" t="str">
        <x:v>-</x:v>
      </x:c>
      <x:c r="D55" t="str">
        <x:v>BUY</x:v>
      </x:c>
      <x:c r="E55" s="19" t="n">
        <x:v>80</x:v>
      </x:c>
      <x:c r="F55" t="str">
        <x:v>3'677 JPY</x:v>
      </x:c>
      <x:c r="G55" t="str">
        <x:v>MARKET</x:v>
      </x:c>
      <x:c r="H55" t="str">
        <x:v>MITSUBISHI UFJ FINANCIAL GRO</x:v>
      </x:c>
    </x:row>
    <x:row r="56">
      <x:c r="A56" s="18" t="d">
        <x:v>2026-08-14T00:00:00.000Z</x:v>
      </x:c>
      <x:c r="B56" t="str">
        <x:v>TENCENT HOLDINGS LTD</x:v>
      </x:c>
      <x:c r="C56" t="str">
        <x:v>-</x:v>
      </x:c>
      <x:c r="D56" t="str">
        <x:v>BUY</x:v>
      </x:c>
      <x:c r="E56" s="19" t="n">
        <x:v>41</x:v>
      </x:c>
      <x:c r="F56" t="str">
        <x:v>444.8 HKD</x:v>
      </x:c>
      <x:c r="G56" t="str">
        <x:v>MARKET</x:v>
      </x:c>
      <x:c r="H56" t="str">
        <x:v>TENCENT HOLDINGS LTD</x:v>
      </x:c>
    </x:row>
    <x:row r="57">
      <x:c r="A57" s="18" t="d">
        <x:v>2026-08-14T00:00:00.000Z</x:v>
      </x:c>
      <x:c r="B57" t="str">
        <x:v>TOKIO MARINE HOLDINGS INC</x:v>
      </x:c>
      <x:c r="C57" t="str">
        <x:v>-</x:v>
      </x:c>
      <x:c r="D57" t="str">
        <x:v>BUY</x:v>
      </x:c>
      <x:c r="E57" s="19" t="n">
        <x:v>45</x:v>
      </x:c>
      <x:c r="F57" t="str">
        <x:v>7'519 JPY</x:v>
      </x:c>
      <x:c r="G57" t="str">
        <x:v>MARKET</x:v>
      </x:c>
      <x:c r="H57" t="str">
        <x:v>TOKIO MARINE HOLDINGS INC</x:v>
      </x:c>
    </x:row>
    <x:row r="58">
      <x:c r="A58" s="18" t="d">
        <x:v>2026-08-14T00:00:00.000Z</x:v>
      </x:c>
      <x:c r="B58" t="str">
        <x:v>TOKYO ELECTRON LTD</x:v>
      </x:c>
      <x:c r="C58" t="str">
        <x:v>-</x:v>
      </x:c>
      <x:c r="D58" t="str">
        <x:v>BUY</x:v>
      </x:c>
      <x:c r="E58" s="19" t="n">
        <x:v>3</x:v>
      </x:c>
      <x:c r="F58" t="str">
        <x:v>59'330 JPY</x:v>
      </x:c>
      <x:c r="G58" t="str">
        <x:v>MARKET</x:v>
      </x:c>
      <x:c r="H58" t="str">
        <x:v>TOKYO ELECTRON LTD</x:v>
      </x:c>
    </x:row>
    <x:row r="59">
      <x:c r="A59" s="18" t="d">
        <x:v>2026-08-14T00:00:00.000Z</x:v>
      </x:c>
      <x:c r="B59" t="str">
        <x:v>TOYOTA MOTOR CORP-REG</x:v>
      </x:c>
      <x:c r="C59" t="str">
        <x:v>-</x:v>
      </x:c>
      <x:c r="D59" t="str">
        <x:v>BUY</x:v>
      </x:c>
      <x:c r="E59" s="19" t="n">
        <x:v>29</x:v>
      </x:c>
      <x:c r="F59" t="str">
        <x:v>3'029 JPY</x:v>
      </x:c>
      <x:c r="G59" t="str">
        <x:v>MARKET</x:v>
      </x:c>
      <x:c r="H59" t="str">
        <x:v>TOYOTA MOTOR CORP-REG</x:v>
      </x:c>
    </x:row>
    <x:row r="60">
      <x:c r="A60" s="18" t="d">
        <x:v>2026-08-14T00:00:00.000Z</x:v>
      </x:c>
      <x:c r="B60" t="str">
        <x:v>AIA GROUP LTD</x:v>
      </x:c>
      <x:c r="C60" t="str">
        <x:v>-</x:v>
      </x:c>
      <x:c r="D60" t="str">
        <x:v>BUY</x:v>
      </x:c>
      <x:c r="E60" s="19" t="n">
        <x:v>418</x:v>
      </x:c>
      <x:c r="F60" t="str">
        <x:v>70.7 HKD</x:v>
      </x:c>
      <x:c r="G60" t="str">
        <x:v>MARKET</x:v>
      </x:c>
      <x:c r="H60" t="str">
        <x:v>AIA GROUP LTD</x:v>
      </x:c>
    </x:row>
    <x:row r="61">
      <x:c r="A61" s="18" t="d">
        <x:v>2026-08-14T00:00:00.000Z</x:v>
      </x:c>
      <x:c r="B61" t="str">
        <x:v>ALIBABA GROUP HOLDING LTD</x:v>
      </x:c>
      <x:c r="C61" t="str">
        <x:v>-</x:v>
      </x:c>
      <x:c r="D61" t="str">
        <x:v>BUY</x:v>
      </x:c>
      <x:c r="E61" s="19" t="n">
        <x:v>215</x:v>
      </x:c>
      <x:c r="F61" t="str">
        <x:v>122 HKD</x:v>
      </x:c>
      <x:c r="G61" t="str">
        <x:v>MARKET</x:v>
      </x:c>
      <x:c r="H61" t="str">
        <x:v>ALIBABA GROUP HOLDING LTD</x:v>
      </x:c>
    </x:row>
    <x:row r="62">
      <x:c r="A62" s="18" t="d">
        <x:v>2026-08-14T00:00:00.000Z</x:v>
      </x:c>
      <x:c r="B62" t="str">
        <x:v>BAIDU INC-CLASS A</x:v>
      </x:c>
      <x:c r="C62" t="str">
        <x:v>-</x:v>
      </x:c>
      <x:c r="D62" t="str">
        <x:v>BUY</x:v>
      </x:c>
      <x:c r="E62" s="19" t="n">
        <x:v>248</x:v>
      </x:c>
      <x:c r="F62" t="str">
        <x:v>101.5 HKD</x:v>
      </x:c>
      <x:c r="G62" t="str">
        <x:v>MARKET</x:v>
      </x:c>
      <x:c r="H62" t="str">
        <x:v>BAIDU INC-CLASS A</x:v>
      </x:c>
    </x:row>
    <x:row r="63">
      <x:c r="A63" s="18" t="d">
        <x:v>2026-08-14T00:00:00.000Z</x:v>
      </x:c>
      <x:c r="B63" t="str">
        <x:v>SK HYNIX INC-ADR W/I</x:v>
      </x:c>
      <x:c r="C63" t="str">
        <x:v>-</x:v>
      </x:c>
      <x:c r="D63" t="str">
        <x:v>BUY</x:v>
      </x:c>
      <x:c r="E63" s="19" t="n">
        <x:v>3</x:v>
      </x:c>
      <x:c r="F63" t="str">
        <x:v>167.15 USD</x:v>
      </x:c>
      <x:c r="G63" t="str">
        <x:v>MARKET</x:v>
      </x:c>
      <x:c r="H63" t="str">
        <x:v>SK HYNIX INC-ADR W/I</x:v>
      </x:c>
    </x:row>
    <x:row r="64">
      <x:c r="A64" s="18" t="d">
        <x:v>2026-08-14T00:00:00.000Z</x:v>
      </x:c>
      <x:c r="B64" t="str">
        <x:v>LARSEN &amp; TOUBRO-GDR REG S</x:v>
      </x:c>
      <x:c r="C64" t="str">
        <x:v>-</x:v>
      </x:c>
      <x:c r="D64" t="str">
        <x:v>BUY</x:v>
      </x:c>
      <x:c r="E64" s="19" t="n">
        <x:v>28</x:v>
      </x:c>
      <x:c r="F64" t="str">
        <x:v>42.35 USD</x:v>
      </x:c>
      <x:c r="G64" t="str">
        <x:v>MARKET</x:v>
      </x:c>
      <x:c r="H64" t="str">
        <x:v>LARSEN &amp; TOUBRO-GDR REG S</x:v>
      </x:c>
    </x:row>
    <x:row r="65">
      <x:c r="A65" s="18" t="d">
        <x:v>2026-08-14T00:00:00.000Z</x:v>
      </x:c>
      <x:c r="B65" t="str">
        <x:v>HDFC BANK LTD-ADR</x:v>
      </x:c>
      <x:c r="C65" t="str">
        <x:v>-</x:v>
      </x:c>
      <x:c r="D65" t="str">
        <x:v>BUY</x:v>
      </x:c>
      <x:c r="E65" s="19" t="n">
        <x:v>28</x:v>
      </x:c>
      <x:c r="F65" t="str">
        <x:v>23.3 USD</x:v>
      </x:c>
      <x:c r="G65" t="str">
        <x:v>MARKET</x:v>
      </x:c>
      <x:c r="H65" t="str">
        <x:v>HDFC BANK LTD-ADR</x:v>
      </x:c>
    </x:row>
    <x:row r="66">
      <x:c r="A66" s="18" t="d">
        <x:v>2026-08-14T00:00:00.000Z</x:v>
      </x:c>
      <x:c r="B66" t="str">
        <x:v>BAIDU INC-CLASS A</x:v>
      </x:c>
      <x:c r="C66" t="str">
        <x:v>-</x:v>
      </x:c>
      <x:c r="D66" t="str">
        <x:v>BUY</x:v>
      </x:c>
      <x:c r="E66" s="19" t="n">
        <x:v>248</x:v>
      </x:c>
      <x:c r="F66" t="str">
        <x:v>-</x:v>
      </x:c>
      <x:c r="G66" t="str">
        <x:v>MARKET</x:v>
      </x:c>
      <x:c r="H66" t="str">
        <x:v>BAIDU INC-CLASS A</x:v>
      </x:c>
    </x:row>
    <x:row r="67">
      <x:c r="A67" s="18" t="d">
        <x:v>2026-08-10T00:00:00.000Z</x:v>
      </x:c>
      <x:c r="B67" t="str">
        <x:v>KEYENCE CORP</x:v>
      </x:c>
      <x:c r="C67" t="str">
        <x:v>-</x:v>
      </x:c>
      <x:c r="D67" t="str">
        <x:v>BUY</x:v>
      </x:c>
      <x:c r="E67" s="19" t="n">
        <x:v>3</x:v>
      </x:c>
      <x:c r="F67" t="str">
        <x:v>-</x:v>
      </x:c>
      <x:c r="G67" t="str">
        <x:v>MARKET</x:v>
      </x:c>
      <x:c r="H67" t="str">
        <x:v>KEYENCE CORP</x:v>
      </x:c>
    </x:row>
    <x:row r="68">
      <x:c r="A68" s="18" t="d">
        <x:v>2026-08-10T00:00:00.000Z</x:v>
      </x:c>
      <x:c r="B68" t="str">
        <x:v>SONY GROUP CORP</x:v>
      </x:c>
      <x:c r="C68" t="str">
        <x:v>-</x:v>
      </x:c>
      <x:c r="D68" t="str">
        <x:v>BUY</x:v>
      </x:c>
      <x:c r="E68" s="19" t="n">
        <x:v>24</x:v>
      </x:c>
      <x:c r="F68" t="str">
        <x:v>-</x:v>
      </x:c>
      <x:c r="G68" t="str">
        <x:v>MARKET</x:v>
      </x:c>
      <x:c r="H68" t="str">
        <x:v>SONY GROUP CORP</x:v>
      </x:c>
    </x:row>
    <x:row r="69">
      <x:c r="A69" s="18" t="d">
        <x:v>2026-08-10T00:00:00.000Z</x:v>
      </x:c>
      <x:c r="B69" t="str">
        <x:v>TOKIO MARINE HOLDINGS INC</x:v>
      </x:c>
      <x:c r="C69" t="str">
        <x:v>-</x:v>
      </x:c>
      <x:c r="D69" t="str">
        <x:v>BUY</x:v>
      </x:c>
      <x:c r="E69" s="19" t="n">
        <x:v>65</x:v>
      </x:c>
      <x:c r="F69" t="str">
        <x:v>-</x:v>
      </x:c>
      <x:c r="G69" t="str">
        <x:v>MARKET</x:v>
      </x:c>
      <x:c r="H69" t="str">
        <x:v>TOKIO MARINE HOLDINGS INC</x:v>
      </x:c>
    </x:row>
    <x:row r="70">
      <x:c r="A70" s="18" t="d">
        <x:v>2026-08-10T00:00:00.000Z</x:v>
      </x:c>
      <x:c r="B70" t="str">
        <x:v>TOYOTA MOTOR CORP-REG</x:v>
      </x:c>
      <x:c r="C70" t="str">
        <x:v>-</x:v>
      </x:c>
      <x:c r="D70" t="str">
        <x:v>BUY</x:v>
      </x:c>
      <x:c r="E70" s="19" t="n">
        <x:v>82</x:v>
      </x:c>
      <x:c r="F70" t="str">
        <x:v>-</x:v>
      </x:c>
      <x:c r="G70" t="str">
        <x:v>MARKET</x:v>
      </x:c>
      <x:c r="H70" t="str">
        <x:v>TOYOTA MOTOR CORP-REG</x:v>
      </x:c>
    </x:row>
    <x:row r="71">
      <x:c r="A71" s="18" t="d">
        <x:v>2026-08-10T00:00:00.000Z</x:v>
      </x:c>
      <x:c r="B71" t="str">
        <x:v>HITACHI LTD</x:v>
      </x:c>
      <x:c r="C71" t="str">
        <x:v>-</x:v>
      </x:c>
      <x:c r="D71" t="str">
        <x:v>BUY</x:v>
      </x:c>
      <x:c r="E71" s="19" t="n">
        <x:v>52</x:v>
      </x:c>
      <x:c r="F71" t="str">
        <x:v>5'669 JPY</x:v>
      </x:c>
      <x:c r="G71" t="str">
        <x:v>MARKET</x:v>
      </x:c>
      <x:c r="H71" t="str">
        <x:v>HITACHI LTD</x:v>
      </x:c>
    </x:row>
    <x:row r="72">
      <x:c r="A72" s="18" t="d">
        <x:v>2026-08-10T00:00:00.000Z</x:v>
      </x:c>
      <x:c r="B72" t="str">
        <x:v>MITSUBISHI UFJ FINANCIAL GRO</x:v>
      </x:c>
      <x:c r="C72" t="str">
        <x:v>-</x:v>
      </x:c>
      <x:c r="D72" t="str">
        <x:v>BUY</x:v>
      </x:c>
      <x:c r="E72" s="19" t="n">
        <x:v>120</x:v>
      </x:c>
      <x:c r="F72" t="str">
        <x:v>3'567 JPY</x:v>
      </x:c>
      <x:c r="G72" t="str">
        <x:v>MARKET</x:v>
      </x:c>
      <x:c r="H72" t="str">
        <x:v>MITSUBISHI UFJ FINANCIAL GRO</x:v>
      </x:c>
    </x:row>
    <x:row r="73">
      <x:c r="A73" s="18" t="d">
        <x:v>2026-08-10T00:00:00.000Z</x:v>
      </x:c>
      <x:c r="B73" t="str">
        <x:v>AIA GROUP LTD</x:v>
      </x:c>
      <x:c r="C73" t="str">
        <x:v>-</x:v>
      </x:c>
      <x:c r="D73" t="str">
        <x:v>BUY</x:v>
      </x:c>
      <x:c r="E73" s="19" t="n">
        <x:v>90</x:v>
      </x:c>
      <x:c r="F73" t="str">
        <x:v>-</x:v>
      </x:c>
      <x:c r="G73" t="str">
        <x:v>MARKET</x:v>
      </x:c>
      <x:c r="H73" t="str">
        <x:v>AIA GROUP LTD</x:v>
      </x:c>
    </x:row>
    <x:row r="74">
      <x:c r="A74" s="18" t="d">
        <x:v>2026-08-10T00:00:00.000Z</x:v>
      </x:c>
      <x:c r="B74" t="str">
        <x:v>TAIWAN SEMICONDUCTOR MANUFACTURING CO</x:v>
      </x:c>
      <x:c r="C74" t="str">
        <x:v>-</x:v>
      </x:c>
      <x:c r="D74" t="str">
        <x:v>BUY</x:v>
      </x:c>
      <x:c r="E74" s="19" t="n">
        <x:v>11</x:v>
      </x:c>
      <x:c r="F74" t="str">
        <x:v>-</x:v>
      </x:c>
      <x:c r="G74" t="str">
        <x:v>MARKET</x:v>
      </x:c>
      <x:c r="H74" t="str">
        <x:v>TAIWAN SEMICONDUCTOR MANUFACTURING CO</x:v>
      </x:c>
    </x:row>
    <x:row r="75">
      <x:c r="A75" s="18" t="d">
        <x:v>2026-08-10T00:00:00.000Z</x:v>
      </x:c>
      <x:c r="B75" t="str">
        <x:v>TENCENT HOLDINGS LTD</x:v>
      </x:c>
      <x:c r="C75" t="str">
        <x:v>-</x:v>
      </x:c>
      <x:c r="D75" t="str">
        <x:v>BUY</x:v>
      </x:c>
      <x:c r="E75" s="19" t="n">
        <x:v>14</x:v>
      </x:c>
      <x:c r="F75" t="str">
        <x:v>-</x:v>
      </x:c>
      <x:c r="G75" t="str">
        <x:v>MARKET</x:v>
      </x:c>
      <x:c r="H75" t="str">
        <x:v>TENCENT HOLDINGS LTD</x:v>
      </x:c>
    </x:row>
    <x:row r="76">
      <x:c r="A76" s="18" t="d">
        <x:v>2026-08-10T00:00:00.000Z</x:v>
      </x:c>
      <x:c r="B76" t="str">
        <x:v>BAIDU INC-CLASS A</x:v>
      </x:c>
      <x:c r="C76" t="str">
        <x:v>-</x:v>
      </x:c>
      <x:c r="D76" t="str">
        <x:v>BUY</x:v>
      </x:c>
      <x:c r="E76" s="19" t="n">
        <x:v>67</x:v>
      </x:c>
      <x:c r="F76" t="str">
        <x:v>107 HKD</x:v>
      </x:c>
      <x:c r="G76" t="str">
        <x:v>MARKET</x:v>
      </x:c>
      <x:c r="H76" t="str">
        <x:v>BAIDU INC-CLASS A</x:v>
      </x:c>
    </x:row>
    <x:row r="77">
      <x:c r="A77" s="18" t="d">
        <x:v>2026-08-10T00:00:00.000Z</x:v>
      </x:c>
      <x:c r="B77" t="str">
        <x:v>NU HOLDINGS LTD/CAYMAN ISL-A</x:v>
      </x:c>
      <x:c r="C77" t="str">
        <x:v>-</x:v>
      </x:c>
      <x:c r="D77" t="str">
        <x:v>BUY</x:v>
      </x:c>
      <x:c r="E77" s="19" t="n">
        <x:v>55</x:v>
      </x:c>
      <x:c r="F77" t="str">
        <x:v>13.7 USD</x:v>
      </x:c>
      <x:c r="G77" t="str">
        <x:v>MARKET</x:v>
      </x:c>
      <x:c r="H77" t="str">
        <x:v>NU HOLDINGS LTD/CAYMAN ISL-A</x:v>
      </x:c>
    </x:row>
    <x:row r="78">
      <x:c r="A78" s="18" t="d">
        <x:v>2026-08-10T00:00:00.000Z</x:v>
      </x:c>
      <x:c r="B78" t="str">
        <x:v>HDFC BANK LTD-ADR</x:v>
      </x:c>
      <x:c r="C78" t="str">
        <x:v>-</x:v>
      </x:c>
      <x:c r="D78" t="str">
        <x:v>BUY</x:v>
      </x:c>
      <x:c r="E78" s="19" t="n">
        <x:v>48</x:v>
      </x:c>
      <x:c r="F78" t="str">
        <x:v>23.41 USD</x:v>
      </x:c>
      <x:c r="G78" t="str">
        <x:v>MARKET</x:v>
      </x:c>
      <x:c r="H78" t="str">
        <x:v>HDFC BANK LTD-ADR</x:v>
      </x:c>
    </x:row>
    <x:row r="79">
      <x:c r="A79" s="18" t="d">
        <x:v>2026-08-10T00:00:00.000Z</x:v>
      </x:c>
      <x:c r="B79" t="str">
        <x:v>SK HYNIX INC-ADR W/I</x:v>
      </x:c>
      <x:c r="C79" t="str">
        <x:v>-</x:v>
      </x:c>
      <x:c r="D79" t="str">
        <x:v>BUY</x:v>
      </x:c>
      <x:c r="E79" s="19" t="n">
        <x:v>4</x:v>
      </x:c>
      <x:c r="F79" t="str">
        <x:v>134.95 USD</x:v>
      </x:c>
      <x:c r="G79" t="str">
        <x:v>MARKET</x:v>
      </x:c>
      <x:c r="H79" t="str">
        <x:v>SK HYNIX INC-ADR W/I</x:v>
      </x:c>
    </x:row>
    <x:row r="80">
      <x:c r="A80" s="18" t="d">
        <x:v>2026-08-10T00:00:00.000Z</x:v>
      </x:c>
      <x:c r="B80" t="str">
        <x:v>HITACHI LTD</x:v>
      </x:c>
      <x:c r="C80" t="str">
        <x:v>-</x:v>
      </x:c>
      <x:c r="D80" t="str">
        <x:v>BUY</x:v>
      </x:c>
      <x:c r="E80" s="19" t="n">
        <x:v>51</x:v>
      </x:c>
      <x:c r="F80" t="str">
        <x:v>-</x:v>
      </x:c>
      <x:c r="G80" t="str">
        <x:v>MARKET</x:v>
      </x:c>
      <x:c r="H80" t="str">
        <x:v>HITACHI LTD</x:v>
      </x:c>
    </x:row>
    <x:row r="81">
      <x:c r="A81" s="18" t="d">
        <x:v>2026-08-10T00:00:00.000Z</x:v>
      </x:c>
      <x:c r="B81" t="str">
        <x:v>KEYENCE CORP</x:v>
      </x:c>
      <x:c r="C81" t="str">
        <x:v>-</x:v>
      </x:c>
      <x:c r="D81" t="str">
        <x:v>BUY</x:v>
      </x:c>
      <x:c r="E81" s="19" t="n">
        <x:v>3</x:v>
      </x:c>
      <x:c r="F81" t="str">
        <x:v>-</x:v>
      </x:c>
      <x:c r="G81" t="str">
        <x:v>MARKET</x:v>
      </x:c>
      <x:c r="H81" t="str">
        <x:v>KEYENCE CORP</x:v>
      </x:c>
    </x:row>
    <x:row r="82">
      <x:c r="A82" s="18" t="d">
        <x:v>2026-08-10T00:00:00.000Z</x:v>
      </x:c>
      <x:c r="B82" t="str">
        <x:v>MITSUBISHI UFJ FINANCIAL GRO</x:v>
      </x:c>
      <x:c r="C82" t="str">
        <x:v>-</x:v>
      </x:c>
      <x:c r="D82" t="str">
        <x:v>BUY</x:v>
      </x:c>
      <x:c r="E82" s="19" t="n">
        <x:v>118</x:v>
      </x:c>
      <x:c r="F82" t="str">
        <x:v>-</x:v>
      </x:c>
      <x:c r="G82" t="str">
        <x:v>MARKET</x:v>
      </x:c>
      <x:c r="H82" t="str">
        <x:v>MITSUBISHI UFJ FINANCIAL GRO</x:v>
      </x:c>
    </x:row>
    <x:row r="83">
      <x:c r="A83" s="18" t="d">
        <x:v>2026-08-10T00:00:00.000Z</x:v>
      </x:c>
      <x:c r="B83" t="str">
        <x:v>SONY GROUP CORP</x:v>
      </x:c>
      <x:c r="C83" t="str">
        <x:v>-</x:v>
      </x:c>
      <x:c r="D83" t="str">
        <x:v>BUY</x:v>
      </x:c>
      <x:c r="E83" s="19" t="n">
        <x:v>23</x:v>
      </x:c>
      <x:c r="F83" t="str">
        <x:v>-</x:v>
      </x:c>
      <x:c r="G83" t="str">
        <x:v>MARKET</x:v>
      </x:c>
      <x:c r="H83" t="str">
        <x:v>SONY GROUP CORP</x:v>
      </x:c>
    </x:row>
    <x:row r="84">
      <x:c r="A84" s="18" t="d">
        <x:v>2026-08-10T00:00:00.000Z</x:v>
      </x:c>
      <x:c r="B84" t="str">
        <x:v>TOKIO MARINE HOLDINGS INC</x:v>
      </x:c>
      <x:c r="C84" t="str">
        <x:v>-</x:v>
      </x:c>
      <x:c r="D84" t="str">
        <x:v>BUY</x:v>
      </x:c>
      <x:c r="E84" s="19" t="n">
        <x:v>65</x:v>
      </x:c>
      <x:c r="F84" t="str">
        <x:v>-</x:v>
      </x:c>
      <x:c r="G84" t="str">
        <x:v>MARKET</x:v>
      </x:c>
      <x:c r="H84" t="str">
        <x:v>TOKIO MARINE HOLDINGS INC</x:v>
      </x:c>
    </x:row>
    <x:row r="85">
      <x:c r="A85" s="18" t="d">
        <x:v>2026-08-10T00:00:00.000Z</x:v>
      </x:c>
      <x:c r="B85" t="str">
        <x:v>TOYOTA MOTOR CORP-REG</x:v>
      </x:c>
      <x:c r="C85" t="str">
        <x:v>-</x:v>
      </x:c>
      <x:c r="D85" t="str">
        <x:v>BUY</x:v>
      </x:c>
      <x:c r="E85" s="19" t="n">
        <x:v>81</x:v>
      </x:c>
      <x:c r="F85" t="str">
        <x:v>-</x:v>
      </x:c>
      <x:c r="G85" t="str">
        <x:v>MARKET</x:v>
      </x:c>
      <x:c r="H85" t="str">
        <x:v>TOYOTA MOTOR CORP-REG</x:v>
      </x:c>
    </x:row>
    <x:row r="86">
      <x:c r="A86" s="18" t="d">
        <x:v>2026-08-10T00:00:00.000Z</x:v>
      </x:c>
      <x:c r="B86" t="str">
        <x:v>LARSEN &amp; TOUBRO-GDR REG S</x:v>
      </x:c>
      <x:c r="C86" t="str">
        <x:v>-</x:v>
      </x:c>
      <x:c r="D86" t="str">
        <x:v>BUY</x:v>
      </x:c>
      <x:c r="E86" s="19" t="n">
        <x:v>19</x:v>
      </x:c>
      <x:c r="F86" t="str">
        <x:v>42.25 USD</x:v>
      </x:c>
      <x:c r="G86" t="str">
        <x:v>MARKET</x:v>
      </x:c>
      <x:c r="H86" t="str">
        <x:v>LARSEN &amp; TOUBRO-GDR REG S</x:v>
      </x:c>
    </x:row>
    <x:row r="87">
      <x:c r="A87" s="18" t="d">
        <x:v>2026-08-10T00:00:00.000Z</x:v>
      </x:c>
      <x:c r="B87" t="str">
        <x:v>AIA GROUP LTD</x:v>
      </x:c>
      <x:c r="C87" t="str">
        <x:v>-</x:v>
      </x:c>
      <x:c r="D87" t="str">
        <x:v>BUY</x:v>
      </x:c>
      <x:c r="E87" s="19" t="n">
        <x:v>75</x:v>
      </x:c>
      <x:c r="F87" t="str">
        <x:v>-</x:v>
      </x:c>
      <x:c r="G87" t="str">
        <x:v>MARKET</x:v>
      </x:c>
      <x:c r="H87" t="str">
        <x:v>AIA GROUP LTD</x:v>
      </x:c>
    </x:row>
    <x:row r="88">
      <x:c r="A88" s="18" t="d">
        <x:v>2026-08-05T00:00:00.000Z</x:v>
      </x:c>
      <x:c r="B88" t="str">
        <x:v>TAIWAN SEMICONDUCTOR MANUFACTURING CO</x:v>
      </x:c>
      <x:c r="C88" t="str">
        <x:v>-</x:v>
      </x:c>
      <x:c r="D88" t="str">
        <x:v>BUY</x:v>
      </x:c>
      <x:c r="E88" s="19" t="n">
        <x:v>298</x:v>
      </x:c>
      <x:c r="F88" t="str">
        <x:v>2'395 TWD</x:v>
      </x:c>
      <x:c r="G88" t="str">
        <x:v>MARKET</x:v>
      </x:c>
      <x:c r="H88" t="str">
        <x:v>TAIWAN SEMICONDUCTOR MANUFACTURING CO</x:v>
      </x:c>
    </x:row>
    <x:row r="89">
      <x:c r="A89" s="18" t="d">
        <x:v>2026-08-05T00:00:00.000Z</x:v>
      </x:c>
      <x:c r="B89" t="str">
        <x:v>DELTA ELECTRONICS INC</x:v>
      </x:c>
      <x:c r="C89" t="str">
        <x:v>-</x:v>
      </x:c>
      <x:c r="D89" t="str">
        <x:v>BUY</x:v>
      </x:c>
      <x:c r="E89" s="19" t="n">
        <x:v>396</x:v>
      </x:c>
      <x:c r="F89" t="str">
        <x:v>1'650 TWD</x:v>
      </x:c>
      <x:c r="G89" t="str">
        <x:v>MARKET</x:v>
      </x:c>
      <x:c r="H89" t="str">
        <x:v>DELTA ELECTRONICS INC</x:v>
      </x:c>
    </x:row>
    <x:row r="90">
      <x:c r="A90" s="18" t="d">
        <x:v>2026-08-05T00:00:00.000Z</x:v>
      </x:c>
      <x:c r="B90" t="str">
        <x:v>TOKYO ELECTRON LTD</x:v>
      </x:c>
      <x:c r="C90" t="str">
        <x:v>-</x:v>
      </x:c>
      <x:c r="D90" t="str">
        <x:v>BUY</x:v>
      </x:c>
      <x:c r="E90" s="19" t="n">
        <x:v>34</x:v>
      </x:c>
      <x:c r="F90" t="str">
        <x:v>56'550 JPY</x:v>
      </x:c>
      <x:c r="G90" t="str">
        <x:v>MARKET</x:v>
      </x:c>
      <x:c r="H90" t="str">
        <x:v>TOKYO ELECTRON LTD</x:v>
      </x:c>
    </x:row>
    <x:row r="91">
      <x:c r="A91" s="18" t="d">
        <x:v>2026-08-05T00:00:00.000Z</x:v>
      </x:c>
      <x:c r="B91" t="str">
        <x:v>HDFC BANK LTD-ADR</x:v>
      </x:c>
      <x:c r="C91" t="str">
        <x:v>-</x:v>
      </x:c>
      <x:c r="D91" t="str">
        <x:v>BUY</x:v>
      </x:c>
      <x:c r="E91" s="19" t="n">
        <x:v>562</x:v>
      </x:c>
      <x:c r="F91" t="str">
        <x:v>23.89 USD</x:v>
      </x:c>
      <x:c r="G91" t="str">
        <x:v>MARKET</x:v>
      </x:c>
      <x:c r="H91" t="str">
        <x:v>HDFC BANK LTD-ADR</x:v>
      </x:c>
    </x:row>
    <x:row r="92">
      <x:c r="A92" s="18" t="d">
        <x:v>2026-08-05T00:00:00.000Z</x:v>
      </x:c>
      <x:c r="B92" t="str">
        <x:v>SAMSUNG ELECTR-GDR</x:v>
      </x:c>
      <x:c r="C92" t="str">
        <x:v>-</x:v>
      </x:c>
      <x:c r="D92" t="str">
        <x:v>BUY</x:v>
      </x:c>
      <x:c r="E92" s="19" t="n">
        <x:v>6</x:v>
      </x:c>
      <x:c r="F92" t="str">
        <x:v>4'267 USD</x:v>
      </x:c>
      <x:c r="G92" t="str">
        <x:v>MARKET</x:v>
      </x:c>
      <x:c r="H92" t="str">
        <x:v>SAMSUNG ELECTR-GDR</x:v>
      </x:c>
    </x:row>
    <x:row r="93">
      <x:c r="A93" s="18" t="d">
        <x:v>2026-08-05T00:00:00.000Z</x:v>
      </x:c>
      <x:c r="B93" t="str">
        <x:v>HOYA CORP</x:v>
      </x:c>
      <x:c r="C93" t="str">
        <x:v>-</x:v>
      </x:c>
      <x:c r="D93" t="str">
        <x:v>BUY</x:v>
      </x:c>
      <x:c r="E93" s="19" t="n">
        <x:v>58</x:v>
      </x:c>
      <x:c r="F93" t="str">
        <x:v>-</x:v>
      </x:c>
      <x:c r="G93" t="str">
        <x:v>MARKET</x:v>
      </x:c>
      <x:c r="H93" t="str">
        <x:v>HOYA CORP</x:v>
      </x:c>
    </x:row>
    <x:row r="94">
      <x:c r="A94" s="18" t="d">
        <x:v>2026-08-05T00:00:00.000Z</x:v>
      </x:c>
      <x:c r="B94" t="str">
        <x:v>MEDIATEK INC</x:v>
      </x:c>
      <x:c r="C94" t="str">
        <x:v>-</x:v>
      </x:c>
      <x:c r="D94" t="str">
        <x:v>BUY</x:v>
      </x:c>
      <x:c r="E94" s="19" t="n">
        <x:v>53</x:v>
      </x:c>
      <x:c r="F94" t="str">
        <x:v>-</x:v>
      </x:c>
      <x:c r="G94" t="str">
        <x:v>MARKET</x:v>
      </x:c>
      <x:c r="H94" t="str">
        <x:v>MEDIATEK INC</x:v>
      </x:c>
    </x:row>
    <x:row r="95">
      <x:c r="A95" s="18" t="d">
        <x:v>2026-08-05T00:00:00.000Z</x:v>
      </x:c>
      <x:c r="B95" t="str">
        <x:v>SK HYNIX INC-ADR W/I</x:v>
      </x:c>
      <x:c r="C95" t="str">
        <x:v>-</x:v>
      </x:c>
      <x:c r="D95" t="str">
        <x:v>BUY</x:v>
      </x:c>
      <x:c r="E95" s="19" t="n">
        <x:v>81</x:v>
      </x:c>
      <x:c r="F95" t="str">
        <x:v>-</x:v>
      </x:c>
      <x:c r="G95" t="str">
        <x:v>MARKET</x:v>
      </x:c>
      <x:c r="H95" t="str">
        <x:v>SK HYNIX INC-ADR W/I</x:v>
      </x:c>
    </x:row>
    <x:row r="96">
      <x:c r="A96" s="18" t="d">
        <x:v>2026-08-05T00:00:00.000Z</x:v>
      </x:c>
      <x:c r="B96" t="str">
        <x:v>LARSEN &amp; TOUBRO-GDR REG S</x:v>
      </x:c>
      <x:c r="C96" t="str">
        <x:v>-</x:v>
      </x:c>
      <x:c r="D96" t="str">
        <x:v>BUY</x:v>
      </x:c>
      <x:c r="E96" s="19" t="n">
        <x:v>169</x:v>
      </x:c>
      <x:c r="F96" t="str">
        <x:v>42.55 USD</x:v>
      </x:c>
      <x:c r="G96" t="str">
        <x:v>MARKET</x:v>
      </x:c>
      <x:c r="H96" t="str">
        <x:v>LARSEN &amp; TOUBRO-GDR REG S</x:v>
      </x:c>
    </x:row>
    <x:row r="97">
      <x:c r="A97" s="18" t="d">
        <x:v>2026-08-04T00:00:00.000Z</x:v>
      </x:c>
      <x:c r="B97" t="str">
        <x:v>HOYA CORP</x:v>
      </x:c>
      <x:c r="C97" t="str">
        <x:v>-</x:v>
      </x:c>
      <x:c r="D97" t="str">
        <x:v>BUY</x:v>
      </x:c>
      <x:c r="E97" s="19" t="n">
        <x:v>77</x:v>
      </x:c>
      <x:c r="F97" t="str">
        <x:v>26'925 JPY</x:v>
      </x:c>
      <x:c r="G97" t="str">
        <x:v>MARKET</x:v>
      </x:c>
      <x:c r="H97" t="str">
        <x:v>HOYA CORP</x:v>
      </x:c>
    </x:row>
    <x:row r="98">
      <x:c r="A98" s="18" t="d">
        <x:v>2026-08-04T00:00:00.000Z</x:v>
      </x:c>
      <x:c r="B98" t="str">
        <x:v>KEYENCE CORP</x:v>
      </x:c>
      <x:c r="C98" t="str">
        <x:v>-</x:v>
      </x:c>
      <x:c r="D98" t="str">
        <x:v>BUY</x:v>
      </x:c>
      <x:c r="E98" s="19" t="n">
        <x:v>19</x:v>
      </x:c>
      <x:c r="F98" t="str">
        <x:v>83'670 JPY</x:v>
      </x:c>
      <x:c r="G98" t="str">
        <x:v>MARKET</x:v>
      </x:c>
      <x:c r="H98" t="str">
        <x:v>KEYENCE CORP</x:v>
      </x:c>
    </x:row>
    <x:row r="99">
      <x:c r="A99" s="18" t="d">
        <x:v>2026-08-04T00:00:00.000Z</x:v>
      </x:c>
      <x:c r="B99" t="str">
        <x:v>HITACHI LTD</x:v>
      </x:c>
      <x:c r="C99" t="str">
        <x:v>-</x:v>
      </x:c>
      <x:c r="D99" t="str">
        <x:v>BUY</x:v>
      </x:c>
      <x:c r="E99" s="19" t="n">
        <x:v>412</x:v>
      </x:c>
      <x:c r="F99" t="str">
        <x:v>5'425 JPY</x:v>
      </x:c>
      <x:c r="G99" t="str">
        <x:v>MARKET</x:v>
      </x:c>
      <x:c r="H99" t="str">
        <x:v>HITACHI LTD</x:v>
      </x:c>
    </x:row>
    <x:row r="100">
      <x:c r="A100" s="18" t="d">
        <x:v>2026-08-04T00:00:00.000Z</x:v>
      </x:c>
      <x:c r="B100" t="str">
        <x:v>SONY GROUP CORP</x:v>
      </x:c>
      <x:c r="C100" t="str">
        <x:v>-</x:v>
      </x:c>
      <x:c r="D100" t="str">
        <x:v>BUY</x:v>
      </x:c>
      <x:c r="E100" s="19" t="n">
        <x:v>408</x:v>
      </x:c>
      <x:c r="F100" t="str">
        <x:v>3'522 JPY</x:v>
      </x:c>
      <x:c r="G100" t="str">
        <x:v>MARKET</x:v>
      </x:c>
      <x:c r="H100" t="str">
        <x:v>SONY GROUP CORP</x:v>
      </x:c>
    </x:row>
    <x:row r="101">
      <x:c r="A101" s="18" t="d">
        <x:v>2026-08-04T00:00:00.000Z</x:v>
      </x:c>
      <x:c r="B101" t="str">
        <x:v>TOKIO MARINE HOLDINGS INC</x:v>
      </x:c>
      <x:c r="C101" t="str">
        <x:v>-</x:v>
      </x:c>
      <x:c r="D101" t="str">
        <x:v>BUY</x:v>
      </x:c>
      <x:c r="E101" s="19" t="n">
        <x:v>301</x:v>
      </x:c>
      <x:c r="F101" t="str">
        <x:v>7'717 JPY</x:v>
      </x:c>
      <x:c r="G101" t="str">
        <x:v>MARKET</x:v>
      </x:c>
      <x:c r="H101" t="str">
        <x:v>TOKIO MARINE HOLDINGS INC</x:v>
      </x:c>
    </x:row>
    <x:row r="102">
      <x:c r="A102" s="18" t="d">
        <x:v>2026-08-04T00:00:00.000Z</x:v>
      </x:c>
      <x:c r="B102" t="str">
        <x:v>TOYOTA MOTOR CORP-REG</x:v>
      </x:c>
      <x:c r="C102" t="str">
        <x:v>-</x:v>
      </x:c>
      <x:c r="D102" t="str">
        <x:v>BUY</x:v>
      </x:c>
      <x:c r="E102" s="19" t="n">
        <x:v>779</x:v>
      </x:c>
      <x:c r="F102" t="str">
        <x:v>2'903 JPY</x:v>
      </x:c>
      <x:c r="G102" t="str">
        <x:v>MARKET</x:v>
      </x:c>
      <x:c r="H102" t="str">
        <x:v>TOYOTA MOTOR CORP-REG</x:v>
      </x:c>
    </x:row>
    <x:row r="103">
      <x:c r="A103" s="18" t="d">
        <x:v>2026-08-04T00:00:00.000Z</x:v>
      </x:c>
      <x:c r="B103" t="str">
        <x:v>NU HOLDINGS LTD/CAYMAN ISL-A</x:v>
      </x:c>
      <x:c r="C103" t="str">
        <x:v>-</x:v>
      </x:c>
      <x:c r="D103" t="str">
        <x:v>BUY</x:v>
      </x:c>
      <x:c r="E103" s="19" t="n">
        <x:v>642</x:v>
      </x:c>
      <x:c r="F103" t="str">
        <x:v>14.56 USD</x:v>
      </x:c>
      <x:c r="G103" t="str">
        <x:v>MARKET</x:v>
      </x:c>
      <x:c r="H103" t="str">
        <x:v>NU HOLDINGS LTD/CAYMAN ISL-A</x:v>
      </x:c>
    </x:row>
    <x:row r="104">
      <x:c r="A104" s="18" t="d">
        <x:v>2026-08-04T00:00:00.000Z</x:v>
      </x:c>
      <x:c r="B104" t="str">
        <x:v>MERCADOLIBRE INC</x:v>
      </x:c>
      <x:c r="C104" t="str">
        <x:v>-</x:v>
      </x:c>
      <x:c r="D104" t="str">
        <x:v>BUY</x:v>
      </x:c>
      <x:c r="E104" s="19" t="n">
        <x:v>5</x:v>
      </x:c>
      <x:c r="F104" t="str">
        <x:v>1'889.66 USD</x:v>
      </x:c>
      <x:c r="G104" t="str">
        <x:v>MARKET</x:v>
      </x:c>
      <x:c r="H104" t="str">
        <x:v>MERCADOLIBRE INC</x:v>
      </x:c>
    </x:row>
    <x:row r="105">
      <x:c r="A105" s="18" t="d">
        <x:v>2026-08-04T00:00:00.000Z</x:v>
      </x:c>
      <x:c r="B105" t="str">
        <x:v>SK HYNIX INC-ADR W/I</x:v>
      </x:c>
      <x:c r="C105" t="str">
        <x:v>-</x:v>
      </x:c>
      <x:c r="D105" t="str">
        <x:v>BUY</x:v>
      </x:c>
      <x:c r="E105" s="19" t="n">
        <x:v>47</x:v>
      </x:c>
      <x:c r="F105" t="str">
        <x:v>150.18 USD</x:v>
      </x:c>
      <x:c r="G105" t="str">
        <x:v>MARKET</x:v>
      </x:c>
      <x:c r="H105" t="str">
        <x:v>SK HYNIX INC-ADR W/I</x:v>
      </x:c>
    </x:row>
    <x:row r="106">
      <x:c r="A106" s="18" t="d">
        <x:v>2026-08-04T00:00:00.000Z</x:v>
      </x:c>
      <x:c r="B106" t="str">
        <x:v>DELTA ELECTRONICS INC</x:v>
      </x:c>
      <x:c r="C106" t="str">
        <x:v>-</x:v>
      </x:c>
      <x:c r="D106" t="str">
        <x:v>BUY</x:v>
      </x:c>
      <x:c r="E106" s="19" t="n">
        <x:v>162</x:v>
      </x:c>
      <x:c r="F106" t="str">
        <x:v>-</x:v>
      </x:c>
      <x:c r="G106" t="str">
        <x:v>MARKET</x:v>
      </x:c>
      <x:c r="H106" t="str">
        <x:v>DELTA ELECTRONICS INC</x:v>
      </x:c>
    </x:row>
    <x:row r="107">
      <x:c r="A107" s="18" t="d">
        <x:v>2026-08-04T00:00:00.000Z</x:v>
      </x:c>
      <x:c r="B107" t="str">
        <x:v>AIA GROUP LTD</x:v>
      </x:c>
      <x:c r="C107" t="str">
        <x:v>-</x:v>
      </x:c>
      <x:c r="D107" t="str">
        <x:v>BUY</x:v>
      </x:c>
      <x:c r="E107" s="19" t="n">
        <x:v>1417</x:v>
      </x:c>
      <x:c r="F107" t="str">
        <x:v>78 HKD</x:v>
      </x:c>
      <x:c r="G107" t="str">
        <x:v>MARKET</x:v>
      </x:c>
      <x:c r="H107" t="str">
        <x:v>AIA GROUP LTD</x:v>
      </x:c>
    </x:row>
    <x:row r="108">
      <x:c r="A108" s="18" t="d">
        <x:v>2026-08-04T00:00:00.000Z</x:v>
      </x:c>
      <x:c r="B108" t="str">
        <x:v>TENCENT HOLDINGS LTD</x:v>
      </x:c>
      <x:c r="C108" t="str">
        <x:v>-</x:v>
      </x:c>
      <x:c r="D108" t="str">
        <x:v>BUY</x:v>
      </x:c>
      <x:c r="E108" s="19" t="n">
        <x:v>275</x:v>
      </x:c>
      <x:c r="F108" t="str">
        <x:v>486 HKD</x:v>
      </x:c>
      <x:c r="G108" t="str">
        <x:v>MARKET</x:v>
      </x:c>
      <x:c r="H108" t="str">
        <x:v>TENCENT HOLDINGS LTD</x:v>
      </x:c>
    </x:row>
    <x:row r="109">
      <x:c r="A109" s="18" t="d">
        <x:v>2026-08-04T00:00:00.000Z</x:v>
      </x:c>
      <x:c r="B109" t="str">
        <x:v>SAMSUNG ELECTR-GDR</x:v>
      </x:c>
      <x:c r="C109" t="str">
        <x:v>-</x:v>
      </x:c>
      <x:c r="D109" t="str">
        <x:v>BUY</x:v>
      </x:c>
      <x:c r="E109" s="19" t="n">
        <x:v>2</x:v>
      </x:c>
      <x:c r="F109" t="str">
        <x:v>4'224 USD</x:v>
      </x:c>
      <x:c r="G109" t="str">
        <x:v>MARKET</x:v>
      </x:c>
      <x:c r="H109" t="str">
        <x:v>SAMSUNG ELECTR-GDR</x:v>
      </x:c>
    </x:row>
    <x:row r="110">
      <x:c r="A110" s="18" t="d">
        <x:v>2026-07-13T00:00:00.000Z</x:v>
      </x:c>
      <x:c r="B110" t="str">
        <x:v>SK HYNIX INC-ADR W/I</x:v>
      </x:c>
      <x:c r="C110" t="str">
        <x:v>-</x:v>
      </x:c>
      <x:c r="D110" t="str">
        <x:v>BUY</x:v>
      </x:c>
      <x:c r="E110" s="19" t="n">
        <x:v>203</x:v>
      </x:c>
      <x:c r="F110" t="str">
        <x:v>156.91 USD</x:v>
      </x:c>
      <x:c r="G110" t="str">
        <x:v>MARKET</x:v>
      </x:c>
      <x:c r="H110" t="str">
        <x:v>SK HYNIX INC-ADR W/I</x:v>
      </x:c>
    </x:row>
    <x:row r="111">
      <x:c r="A111" s="18" t="d">
        <x:v>2026-07-10T00:00:00.000Z</x:v>
      </x:c>
      <x:c r="B111" t="str">
        <x:v>ALIBABA GROUP HOLDING LTD</x:v>
      </x:c>
      <x:c r="C111" t="str">
        <x:v>KYG017191142</x:v>
      </x:c>
      <x:c r="D111" t="str">
        <x:v>BUY</x:v>
      </x:c>
      <x:c r="E111" s="19" t="n">
        <x:v>2347</x:v>
      </x:c>
      <x:c r="F111" t="str">
        <x:v>110.8 HKD</x:v>
      </x:c>
      <x:c r="G111" t="str">
        <x:v>MARKET</x:v>
      </x:c>
      <x:c r="H111" t="str">
        <x:v>ALIBABA GROUP HOLDING LTD</x:v>
      </x:c>
    </x:row>
    <x:row r="112">
      <x:c r="A112" s="18" t="d">
        <x:v>2026-07-10T00:00:00.000Z</x:v>
      </x:c>
      <x:c r="B112" t="str">
        <x:v>BAIDU INC-CLASS A</x:v>
      </x:c>
      <x:c r="C112" t="str">
        <x:v>KYG070341048</x:v>
      </x:c>
      <x:c r="D112" t="str">
        <x:v>BUY</x:v>
      </x:c>
      <x:c r="E112" s="19" t="n">
        <x:v>2443</x:v>
      </x:c>
      <x:c r="F112" t="str">
        <x:v>114 HKD</x:v>
      </x:c>
      <x:c r="G112" t="str">
        <x:v>MARKET</x:v>
      </x:c>
      <x:c r="H112" t="str">
        <x:v>BAIDU INC-CLASS A</x:v>
      </x:c>
    </x:row>
    <x:row r="113">
      <x:c r="A113" s="18" t="d">
        <x:v>2026-07-09T00:00:00.000Z</x:v>
      </x:c>
      <x:c r="B113" t="str">
        <x:v>MITSUBISHI UFJ FINANCIAL GRO</x:v>
      </x:c>
      <x:c r="C113" t="str">
        <x:v>JP3902900004</x:v>
      </x:c>
      <x:c r="D113" t="str">
        <x:v>BUY</x:v>
      </x:c>
      <x:c r="E113" s="19" t="n">
        <x:v>2312</x:v>
      </x:c>
      <x:c r="F113" t="str">
        <x:v>3'468 JPY</x:v>
      </x:c>
      <x:c r="G113" t="str">
        <x:v>MARKET</x:v>
      </x:c>
      <x:c r="H113" t="str">
        <x:v>MITSUBISHI UFJ FINANCIAL GRO</x:v>
      </x:c>
    </x:row>
    <x:row r="114">
      <x:c r="A114" s="18" t="d">
        <x:v>2026-07-07T00:00:00.000Z</x:v>
      </x:c>
      <x:c r="B114" t="str">
        <x:v>MEDIATEK INC</x:v>
      </x:c>
      <x:c r="C114" t="str">
        <x:v>TW0002454006</x:v>
      </x:c>
      <x:c r="D114" t="str">
        <x:v>BUY</x:v>
      </x:c>
      <x:c r="E114" s="19" t="n">
        <x:v>295</x:v>
      </x:c>
      <x:c r="F114" t="str">
        <x:v>4'000 TWD</x:v>
      </x:c>
      <x:c r="G114" t="str">
        <x:v>MARKET</x:v>
      </x:c>
      <x:c r="H114" t="str">
        <x:v>MEDIATEK INC</x:v>
      </x:c>
    </x:row>
    <x:row r="115">
      <x:c r="A115" s="18" t="d">
        <x:v>2026-07-07T00:00:00.000Z</x:v>
      </x:c>
      <x:c r="B115" t="str">
        <x:v>TOKYO ELECTRON LTD</x:v>
      </x:c>
      <x:c r="C115" t="str">
        <x:v>JP3571400005</x:v>
      </x:c>
      <x:c r="D115" t="str">
        <x:v>BUY</x:v>
      </x:c>
      <x:c r="E115" s="19" t="n">
        <x:v>85</x:v>
      </x:c>
      <x:c r="F115" t="str">
        <x:v>69'470 JPY</x:v>
      </x:c>
      <x:c r="G115" t="str">
        <x:v>MARKET</x:v>
      </x:c>
      <x:c r="H115" t="str">
        <x:v>TOKYO ELECTRON LTD</x:v>
      </x:c>
    </x:row>
    <x:row r="116">
      <x:c r="A116" s="18" t="d">
        <x:v>2026-07-07T00:00:00.000Z</x:v>
      </x:c>
      <x:c r="B116" t="str">
        <x:v>KEYENCE CORP</x:v>
      </x:c>
      <x:c r="C116" t="str">
        <x:v>JP3236200006</x:v>
      </x:c>
      <x:c r="D116" t="str">
        <x:v>BUY</x:v>
      </x:c>
      <x:c r="E116" s="19" t="n">
        <x:v>97</x:v>
      </x:c>
      <x:c r="F116" t="str">
        <x:v>78'180 JPY</x:v>
      </x:c>
      <x:c r="G116" t="str">
        <x:v>MARKET</x:v>
      </x:c>
      <x:c r="H116" t="str">
        <x:v>KEYENCE CORP</x:v>
      </x:c>
    </x:row>
    <x:row r="117">
      <x:c r="A117" s="18" t="d">
        <x:v>2026-07-07T00:00:00.000Z</x:v>
      </x:c>
      <x:c r="B117" t="str">
        <x:v>DELTA ELECTRONICS INC</x:v>
      </x:c>
      <x:c r="C117" t="str">
        <x:v>TW0002308004</x:v>
      </x:c>
      <x:c r="D117" t="str">
        <x:v>BUY</x:v>
      </x:c>
      <x:c r="E117" s="19" t="n">
        <x:v>869</x:v>
      </x:c>
      <x:c r="F117" t="str">
        <x:v>1'890 TWD</x:v>
      </x:c>
      <x:c r="G117" t="str">
        <x:v>MARKET</x:v>
      </x:c>
      <x:c r="H117" t="str">
        <x:v>DELTA ELECTRONICS INC</x:v>
      </x:c>
    </x:row>
    <x:row r="118">
      <x:c r="A118" s="18" t="d">
        <x:v>2026-07-07T00:00:00.000Z</x:v>
      </x:c>
      <x:c r="B118" t="str">
        <x:v>TAIWAN SEMICONDUCTOR MANUFACTURING CO</x:v>
      </x:c>
      <x:c r="C118" t="str">
        <x:v>TW0002330008</x:v>
      </x:c>
      <x:c r="D118" t="str">
        <x:v>BUY</x:v>
      </x:c>
      <x:c r="E118" s="19" t="n">
        <x:v>869</x:v>
      </x:c>
      <x:c r="F118" t="str">
        <x:v>2'440 TWD</x:v>
      </x:c>
      <x:c r="G118" t="str">
        <x:v>MARKET</x:v>
      </x:c>
      <x:c r="H118" t="str">
        <x:v>TAIWAN SEMICONDUCTOR MANUFACTURING CO</x:v>
      </x:c>
    </x:row>
    <x:row r="119">
      <x:c r="A119" s="18" t="d">
        <x:v>2026-07-07T00:00:00.000Z</x:v>
      </x:c>
      <x:c r="B119" t="str">
        <x:v>SK HYNIX INC-GDS</x:v>
      </x:c>
      <x:c r="C119" t="str">
        <x:v>-</x:v>
      </x:c>
      <x:c r="D119" t="str">
        <x:v>BUY</x:v>
      </x:c>
      <x:c r="E119" s="19" t="n">
        <x:v>20</x:v>
      </x:c>
      <x:c r="F119" t="str">
        <x:v>-</x:v>
      </x:c>
      <x:c r="G119" t="str">
        <x:v>MARKET</x:v>
      </x:c>
      <x:c r="H119" t="str">
        <x:v>SK HYNIX INC-GDS</x:v>
      </x:c>
    </x:row>
    <x:row r="120">
      <x:c r="A120" s="18" t="d">
        <x:v>2026-07-07T00:00:00.000Z</x:v>
      </x:c>
      <x:c r="B120" t="str">
        <x:v>SK HYNIX INC-GDS</x:v>
      </x:c>
      <x:c r="C120" t="str">
        <x:v>-</x:v>
      </x:c>
      <x:c r="D120" t="str">
        <x:v>BUY</x:v>
      </x:c>
      <x:c r="E120" s="19" t="n">
        <x:v>20</x:v>
      </x:c>
      <x:c r="F120" t="str">
        <x:v>-</x:v>
      </x:c>
      <x:c r="G120" t="str">
        <x:v>MARKET</x:v>
      </x:c>
      <x:c r="H120" t="str">
        <x:v>SK HYNIX INC-GDS</x:v>
      </x:c>
    </x:row>
    <x:row r="121">
      <x:c r="A121" s="18" t="d">
        <x:v>2026-07-06T00:00:00.000Z</x:v>
      </x:c>
      <x:c r="B121" t="str">
        <x:v>SK HYNIX INC-GDS</x:v>
      </x:c>
      <x:c r="C121" t="str">
        <x:v>-</x:v>
      </x:c>
      <x:c r="D121" t="str">
        <x:v>BUY</x:v>
      </x:c>
      <x:c r="E121" s="19" t="n">
        <x:v>20</x:v>
      </x:c>
      <x:c r="F121" t="str">
        <x:v>-</x:v>
      </x:c>
      <x:c r="G121" t="str">
        <x:v>MARKET</x:v>
      </x:c>
      <x:c r="H121" t="str">
        <x:v>SK HYNIX INC-GDS</x:v>
      </x:c>
    </x:row>
    <x:row r="122">
      <x:c r="A122" s="18" t="d">
        <x:v>2026-07-06T00:00:00.000Z</x:v>
      </x:c>
      <x:c r="B122" t="str">
        <x:v>SAMSUNG ELECTR-GDR</x:v>
      </x:c>
      <x:c r="C122" t="str">
        <x:v>US7960508882</x:v>
      </x:c>
      <x:c r="D122" t="str">
        <x:v>BUY</x:v>
      </x:c>
      <x:c r="E122" s="19" t="n">
        <x:v>12</x:v>
      </x:c>
      <x:c r="F122" t="str">
        <x:v>5'115 USD</x:v>
      </x:c>
      <x:c r="G122" t="str">
        <x:v>MARKET</x:v>
      </x:c>
      <x:c r="H122" t="str">
        <x:v>SAMSUNG ELECTR-GDR</x:v>
      </x:c>
    </x:row>
  </x:sheetData>
  <x:pageMargins left="0.7" right="0.7" top="0.75" bottom="0.75" header="0.3" footer="0.3"/>
  <x:tableParts count="1">
    <x:tablePart xmlns:r="http://schemas.openxmlformats.org/officeDocument/2006/relationships" r:id="R55bb68e0081a484c"/>
  </x:tableParts>
</x:worksheet>
</file>