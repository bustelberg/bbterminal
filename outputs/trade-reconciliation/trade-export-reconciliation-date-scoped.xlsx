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21ab7d789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dfc874cb554e56"/>
    <x:sheet xmlns:r="http://schemas.openxmlformats.org/officeDocument/2006/relationships" name="Comparison" sheetId="2" r:id="R05836df8916849ae"/>
    <x:sheet xmlns:r="http://schemas.openxmlformats.org/officeDocument/2006/relationships" name="Leonteq execution" sheetId="3" r:id="R3b6bfd8a937a4110"/>
    <x:sheet xmlns:r="http://schemas.openxmlformats.org/officeDocument/2006/relationships" name="AIRS ledger" sheetId="4" r:id="Rf8bb148390bd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88414de6b45dd" /><Relationship Type="http://schemas.openxmlformats.org/officeDocument/2006/relationships/theme" Target="/xl/theme/theme1.xml" Id="R86c0018aba354212" /><Relationship Type="http://schemas.openxmlformats.org/officeDocument/2006/relationships/sharedStrings" Target="/xl/sharedStrings.xml" Id="Re23384a73dc64da8" /><Relationship Type="http://schemas.openxmlformats.org/officeDocument/2006/relationships/worksheet" Target="/xl/worksheets/sheet1.xml" Id="R54dfc874cb554e56" /><Relationship Type="http://schemas.openxmlformats.org/officeDocument/2006/relationships/worksheet" Target="/xl/worksheets/sheet2.xml" Id="R05836df8916849ae" /><Relationship Type="http://schemas.openxmlformats.org/officeDocument/2006/relationships/worksheet" Target="/xl/worksheets/sheet3.xml" Id="R3b6bfd8a937a4110" /><Relationship Type="http://schemas.openxmlformats.org/officeDocument/2006/relationships/worksheet" Target="/xl/worksheets/sheet4.xml" Id="Rf8bb148390bd44df" /></Relationships>
</file>

<file path=xl/tables/table1.xml><?xml version="1.0" encoding="utf-8"?>
<x:table xmlns:x="http://schemas.openxmlformats.org/spreadsheetml/2006/main" id="1" name="ComparisonTable" displayName="ComparisonTable" ref="A4:J51" headerRowCount="1" totalsRowCount="0" totalsRowShown="0">
  <x:tableColumns count="10">
    <x:tableColumn id="1" name="AIRS date"/>
    <x:tableColumn id="2" name="AIRS type"/>
    <x:tableColumn id="3" name="AIRS instrument"/>
    <x:tableColumn id="4" name="Normalized instrument"/>
    <x:tableColumn id="5" name="AIRS quantity"/>
    <x:tableColumn id="6" name="Leonteq buys (same date)"/>
    <x:tableColumn id="7" name="Leonteq sells (same date)"/>
    <x:tableColumn id="8" name="Expected-side quantity"/>
    <x:tableColumn id="9" name="Difference"/>
    <x:tableColumn id="10" name="Status (direction / quantity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dgerTable" displayName="LedgerTable" ref="A4:G51" headerRowCount="1" totalsRowCount="0" totalsRowShown="0">
  <x:tableColumns count="7">
    <x:tableColumn id="1" name="Date"/>
    <x:tableColumn id="2" name="Type"/>
    <x:tableColumn id="3" name="Quantity"/>
    <x:tableColumn id="4" name="Instrument"/>
    <x:tableColumn id="5" name="Normalized instrument"/>
    <x:tableColumn id="6" name="Remaining source fields"/>
    <x:tableColumn id="7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414dbc4e6c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7555886ae047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7cd95736b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Leonteq execution records</x:v>
      </x:c>
      <x:c r="B5" s="16" t="n">
        <x:v>155</x:v>
      </x:c>
    </x:row>
    <x:row r="6" ht="15" hidden="0" customHeight="1">
      <x:c r="A6" s="15" t="str">
        <x:v>AIRS ledger records</x:v>
      </x:c>
      <x:c r="B6" s="16" t="n">
        <x:v>47</x:v>
      </x:c>
    </x:row>
    <x:row r="7" ht="15" hidden="0" customHeight="1">
      <x:c r="A7" s="15" t="str">
        <x:v>Exact same-date quantity matches</x:v>
      </x:c>
      <x:c r="B7" s="16" t="n">
        <x:f>COUNTIF(Comparison!$J$5:$J$51,"Matches quantity")</x:f>
        <x:v>0</x:v>
      </x:c>
    </x:row>
    <x:row r="8" ht="15" hidden="0" customHeight="1">
      <x:c r="A8" s="15" t="str">
        <x:v>Direction mismatches</x:v>
      </x:c>
      <x:c r="B8" s="16" t="n">
        <x:f>COUNTIF(Comparison!$J$5:$J$51,"Direction mismatch*")</x:f>
        <x:v>0</x:v>
      </x:c>
    </x:row>
    <x:row r="9" ht="15" hidden="0" customHeight="1">
      <x:c r="A9" s="15" t="str">
        <x:v>Same-direction quantity differences</x:v>
      </x:c>
      <x:c r="B9" s="16" t="n">
        <x:f>COUNTIF(Comparison!$J$5:$J$51,"Quantity differs")</x:f>
        <x:v>28</x:v>
      </x:c>
    </x:row>
    <x:row r="10" ht="15" hidden="0" customHeight="1">
      <x:c r="A10" s="15" t="str">
        <x:v>AIRS ledger rows with no same-date Leonteq execution</x:v>
      </x:c>
      <x:c r="B10" s="16" t="n">
        <x:f>COUNTIF(Comparison!$J$5:$J$51,"No same-date transaction")</x:f>
        <x:v>9</x:v>
      </x:c>
    </x:row>
    <x:row r="11" ht="24" hidden="0" customHeight="1">
      <x:c r="A11" s="15" t="str">
        <x:v>Primary finding</x:v>
      </x:c>
      <x:c r="B11" s="16" t="str">
        <x:v>The exports are not directly reconcilable: several 4-Aug records have opposing direction or materially different quantities.</x:v>
      </x:c>
    </x:row>
    <x:row r="12" ht="15" hidden="0" customHeight="1">
      <x:c r="A12" s="10" t="str">
        <x:v>How to use this workbook</x:v>
      </x:c>
      <x:c r="B12" s="10" t="str"/>
    </x:row>
    <x:row r="13" ht="15" hidden="0" customHeight="1">
      <x:c r="A13" s="17" t="str">
        <x:v>1</x:v>
      </x:c>
      <x:c r="B13" s="16" t="str">
        <x:v>Filter Comparison by Status = Quantity differs to review the confirmed conflicts.</x:v>
      </x:c>
    </x:row>
    <x:row r="14" ht="24" hidden="0" customHeight="1">
      <x:c r="A14" s="17" t="str">
        <x:v>2</x:v>
      </x:c>
      <x:c r="B14" s="16" t="str">
        <x:v>Filter Status = No same-date transaction before assuming a missing trade; the AIRS ledger may be a position snapshot, not an execution report.</x:v>
      </x:c>
    </x:row>
    <x:row r="15" ht="24" hidden="0" customHeight="1">
      <x:c r="A15" s="17" t="str">
        <x:v>3</x:v>
      </x:c>
      <x:c r="B15" s="16" t="str">
        <x:v>Use Leonteq execution and AIRS ledger to check identifiers, price and account context with the originating broker/custodian.</x:v>
      </x:c>
    </x:row>
    <x:row r="16" ht="15" hidden="0" customHeight="1">
      <x:c r="A16" s="17" t="str">
        <x:v>4</x:v>
      </x:c>
      <x:c r="B16" s="16" t="str">
        <x:v>Resolve the source type and account scope before changing any positions in the application.</x:v>
      </x:c>
    </x:row>
    <x:row r="17" ht="24" hidden="0" customHeight="1">
      <x:c r="A17" s="17" t="str">
        <x:v>Note</x:v>
      </x:c>
      <x:c r="B17" s="16" t="str">
        <x:v>'A' and 'V' are retained as supplied. The workbook interprets A as Buy and V as Sell only for same-date comparison; confirm this with the ledger producer.</x:v>
      </x:c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3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4" hidden="0" customWidth="1"/>
    <x:col min="10" max="10" width="28" hidden="0" customWidth="1"/>
  </x:cols>
  <x:sheetData>
    <x:row r="2">
      <x:c r="A2" s="1" t="str">
        <x:v>Same-date reconciliation</x:v>
      </x:c>
    </x:row>
    <x:row r="4">
      <x:c r="A4" s="22" t="str">
        <x:v>AIRS date</x:v>
      </x:c>
      <x:c r="B4" s="22" t="str">
        <x:v>AIRS type</x:v>
      </x:c>
      <x:c r="C4" s="22" t="str">
        <x:v>AIRS instrument</x:v>
      </x:c>
      <x:c r="D4" s="22" t="str">
        <x:v>Normalized instrument</x:v>
      </x:c>
      <x:c r="E4" s="22" t="str">
        <x:v>AIRS quantity</x:v>
      </x:c>
      <x:c r="F4" s="22" t="str">
        <x:v>Leonteq buys (same date)</x:v>
      </x:c>
      <x:c r="G4" s="22" t="str">
        <x:v>Leonteq sells (same date)</x:v>
      </x:c>
      <x:c r="H4" s="22" t="str">
        <x:v>Expected-side quantity</x:v>
      </x:c>
      <x:c r="I4" s="22" t="str">
        <x:v>Difference</x:v>
      </x:c>
      <x:c r="J4" s="22" t="str">
        <x:v>Status (direction / quantity)</x:v>
      </x:c>
    </x:row>
    <x:row r="5">
      <x:c r="A5" s="23" t="d">
        <x:v>2026-07-06T00:00:00.000Z</x:v>
      </x:c>
      <x:c r="B5" s="24" t="str">
        <x:v>A</x:v>
      </x:c>
      <x:c r="C5" s="24" t="str">
        <x:v>Aia Group Ltd</x:v>
      </x:c>
      <x:c r="D5" s="24" t="str">
        <x:v>AIA GROUP LTD</x:v>
      </x:c>
      <x:c r="E5" s="25" t="n">
        <x:v>6742</x:v>
      </x:c>
      <x:c r="F5" s="25" t="n">
        <x:v>6316</x:v>
      </x:c>
      <x:c r="G5" s="25" t="n">
        <x:v>0</x:v>
      </x:c>
      <x:c r="H5" s="25" t="n">
        <x:f>IF(B5="A",F5,IF(B5="V",G5,F5+G5))</x:f>
        <x:v>6316</x:v>
      </x:c>
      <x:c r="I5" s="25" t="n">
        <x:f>H5-E5</x:f>
        <x:v>-426</x:v>
      </x:c>
      <x:c r="J5" s="24" t="str">
        <x:f>IF(AND(F5=0,G5=0),"No same-date transaction",IF(AND(B5="A",F5=0,G5&gt;0),"Direction mismatch: AIRS buy / Leonteq sell",IF(AND(B5="V",G5=0,F5&gt;0),"Direction mismatch: AIRS sell / Leonteq buy",IF(I5=0,"Matches quantity","Quantity differs"))))</x:f>
        <x:v>Quantity differs</x:v>
      </x:c>
    </x:row>
    <x:row r="6">
      <x:c r="A6" s="23" t="d">
        <x:v>2026-07-06T00:00:00.000Z</x:v>
      </x:c>
      <x:c r="B6" s="24" t="str">
        <x:v>A</x:v>
      </x:c>
      <x:c r="C6" s="24" t="str">
        <x:v>Toyota</x:v>
      </x:c>
      <x:c r="D6" s="24" t="str">
        <x:v>TOYOTA MOTOR CORP-REG</x:v>
      </x:c>
      <x:c r="E6" s="25" t="n">
        <x:v>3262</x:v>
      </x:c>
      <x:c r="F6" s="25" t="n">
        <x:v>3007</x:v>
      </x:c>
      <x:c r="G6" s="25" t="n">
        <x:v>0</x:v>
      </x:c>
      <x:c r="H6" s="25" t="n">
        <x:f>IF(B6="A",F6,IF(B6="V",G6,F6+G6))</x:f>
        <x:v>3007</x:v>
      </x:c>
      <x:c r="I6" s="25" t="n">
        <x:f>H6-E6</x:f>
        <x:v>-255</x:v>
      </x:c>
      <x:c r="J6" s="24" t="str">
        <x:f>IF(AND(F6=0,G6=0),"No same-date transaction",IF(AND(B6="A",F6=0,G6&gt;0),"Direction mismatch: AIRS buy / Leonteq sell",IF(AND(B6="V",G6=0,F6&gt;0),"Direction mismatch: AIRS sell / Leonteq buy",IF(I6=0,"Matches quantity","Quantity differs"))))</x:f>
        <x:v>Quantity differs</x:v>
      </x:c>
    </x:row>
    <x:row r="7">
      <x:c r="A7" s="23" t="d">
        <x:v>2026-07-06T00:00:00.000Z</x:v>
      </x:c>
      <x:c r="B7" s="24" t="str">
        <x:v>A</x:v>
      </x:c>
      <x:c r="C7" s="24" t="str">
        <x:v>Tokyo Electron</x:v>
      </x:c>
      <x:c r="D7" s="24" t="str">
        <x:v>TOKYO ELECTRON LTD</x:v>
      </x:c>
      <x:c r="E7" s="25" t="n">
        <x:v>88</x:v>
      </x:c>
      <x:c r="F7" s="25" t="n">
        <x:v>85</x:v>
      </x:c>
      <x:c r="G7" s="25" t="n">
        <x:v>0</x:v>
      </x:c>
      <x:c r="H7" s="25" t="n">
        <x:f>IF(B7="A",F7,IF(B7="V",G7,F7+G7))</x:f>
        <x:v>85</x:v>
      </x:c>
      <x:c r="I7" s="25" t="n">
        <x:f>H7-E7</x:f>
        <x:v>-3</x:v>
      </x:c>
      <x:c r="J7" s="24" t="str">
        <x:f>IF(AND(F7=0,G7=0),"No same-date transaction",IF(AND(B7="A",F7=0,G7&gt;0),"Direction mismatch: AIRS buy / Leonteq sell",IF(AND(B7="V",G7=0,F7&gt;0),"Direction mismatch: AIRS sell / Leonteq buy",IF(I7=0,"Matches quantity","Quantity differs"))))</x:f>
        <x:v>Quantity differs</x:v>
      </x:c>
    </x:row>
    <x:row r="8">
      <x:c r="A8" s="23" t="d">
        <x:v>2026-07-06T00:00:00.000Z</x:v>
      </x:c>
      <x:c r="B8" s="24" t="str">
        <x:v>A</x:v>
      </x:c>
      <x:c r="C8" s="24" t="str">
        <x:v>Tokio Marine</x:v>
      </x:c>
      <x:c r="D8" s="24" t="str">
        <x:v>TOKIO MARINE HOLDINGS INC</x:v>
      </x:c>
      <x:c r="E8" s="25" t="n">
        <x:v>1216</x:v>
      </x:c>
      <x:c r="F8" s="25" t="n">
        <x:v>1126</x:v>
      </x:c>
      <x:c r="G8" s="25" t="n">
        <x:v>0</x:v>
      </x:c>
      <x:c r="H8" s="25" t="n">
        <x:f>IF(B8="A",F8,IF(B8="V",G8,F8+G8))</x:f>
        <x:v>1126</x:v>
      </x:c>
      <x:c r="I8" s="25" t="n">
        <x:f>H8-E8</x:f>
        <x:v>-90</x:v>
      </x:c>
      <x:c r="J8" s="24" t="str">
        <x:f>IF(AND(F8=0,G8=0),"No same-date transaction",IF(AND(B8="A",F8=0,G8&gt;0),"Direction mismatch: AIRS buy / Leonteq sell",IF(AND(B8="V",G8=0,F8&gt;0),"Direction mismatch: AIRS sell / Leonteq buy",IF(I8=0,"Matches quantity","Quantity differs"))))</x:f>
        <x:v>Quantity differs</x:v>
      </x:c>
    </x:row>
    <x:row r="9">
      <x:c r="A9" s="23" t="d">
        <x:v>2026-07-06T00:00:00.000Z</x:v>
      </x:c>
      <x:c r="B9" s="24" t="str">
        <x:v>A</x:v>
      </x:c>
      <x:c r="C9" s="24" t="str">
        <x:v>Tencent Holdings Ltd.</x:v>
      </x:c>
      <x:c r="D9" s="24" t="str">
        <x:v>TENCENT HOLDINGS LTD</x:v>
      </x:c>
      <x:c r="E9" s="25" t="n">
        <x:v>1354</x:v>
      </x:c>
      <x:c r="F9" s="25" t="n">
        <x:v>1222</x:v>
      </x:c>
      <x:c r="G9" s="25" t="n">
        <x:v>0</x:v>
      </x:c>
      <x:c r="H9" s="25" t="n">
        <x:f>IF(B9="A",F9,IF(B9="V",G9,F9+G9))</x:f>
        <x:v>1222</x:v>
      </x:c>
      <x:c r="I9" s="25" t="n">
        <x:f>H9-E9</x:f>
        <x:v>-132</x:v>
      </x:c>
      <x:c r="J9" s="24" t="str">
        <x:f>IF(AND(F9=0,G9=0),"No same-date transaction",IF(AND(B9="A",F9=0,G9&gt;0),"Direction mismatch: AIRS buy / Leonteq sell",IF(AND(B9="V",G9=0,F9&gt;0),"Direction mismatch: AIRS sell / Leonteq buy",IF(I9=0,"Matches quantity","Quantity differs"))))</x:f>
        <x:v>Quantity differs</x:v>
      </x:c>
    </x:row>
    <x:row r="10">
      <x:c r="A10" s="23" t="d">
        <x:v>2026-07-06T00:00:00.000Z</x:v>
      </x:c>
      <x:c r="B10" s="24" t="str">
        <x:v>A</x:v>
      </x:c>
      <x:c r="C10" s="24" t="str">
        <x:v>Sony</x:v>
      </x:c>
      <x:c r="D10" s="24" t="str">
        <x:v>SONY GROUP CORP</x:v>
      </x:c>
      <x:c r="E10" s="25" t="n">
        <x:v>1637</x:v>
      </x:c>
      <x:c r="F10" s="25" t="n">
        <x:v>1544</x:v>
      </x:c>
      <x:c r="G10" s="25" t="n">
        <x:v>0</x:v>
      </x:c>
      <x:c r="H10" s="25" t="n">
        <x:f>IF(B10="A",F10,IF(B10="V",G10,F10+G10))</x:f>
        <x:v>1544</x:v>
      </x:c>
      <x:c r="I10" s="25" t="n">
        <x:f>H10-E10</x:f>
        <x:v>-93</x:v>
      </x:c>
      <x:c r="J10" s="24" t="str">
        <x:f>IF(AND(F10=0,G10=0),"No same-date transaction",IF(AND(B10="A",F10=0,G10&gt;0),"Direction mismatch: AIRS buy / Leonteq sell",IF(AND(B10="V",G10=0,F10&gt;0),"Direction mismatch: AIRS sell / Leonteq buy",IF(I10=0,"Matches quantity","Quantity differs"))))</x:f>
        <x:v>Quantity differs</x:v>
      </x:c>
    </x:row>
    <x:row r="11">
      <x:c r="A11" s="23" t="d">
        <x:v>2026-07-06T00:00:00.000Z</x:v>
      </x:c>
      <x:c r="B11" s="24" t="str">
        <x:v>A</x:v>
      </x:c>
      <x:c r="C11" s="24" t="str">
        <x:v>Taiwan Semiconductor Manufact.</x:v>
      </x:c>
      <x:c r="D11" s="24" t="str">
        <x:v>TAIWAN SEMICONDUCTOR MANUFACTURING CO</x:v>
      </x:c>
      <x:c r="E11" s="25" t="n">
        <x:v>105</x:v>
      </x:c>
      <x:c r="F11" s="25" t="n">
        <x:v>987</x:v>
      </x:c>
      <x:c r="G11" s="25" t="n">
        <x:v>0</x:v>
      </x:c>
      <x:c r="H11" s="25" t="n">
        <x:f>IF(B11="A",F11,IF(B11="V",G11,F11+G11))</x:f>
        <x:v>987</x:v>
      </x:c>
      <x:c r="I11" s="25" t="n">
        <x:f>H11-E11</x:f>
        <x:v>882</x:v>
      </x:c>
      <x:c r="J11" s="24" t="str">
        <x:f>IF(AND(F11=0,G11=0),"No same-date transaction",IF(AND(B11="A",F11=0,G11&gt;0),"Direction mismatch: AIRS buy / Leonteq sell",IF(AND(B11="V",G11=0,F11&gt;0),"Direction mismatch: AIRS sell / Leonteq buy",IF(I11=0,"Matches quantity","Quantity differs"))))</x:f>
        <x:v>Quantity differs</x:v>
      </x:c>
    </x:row>
    <x:row r="12">
      <x:c r="A12" s="23" t="d">
        <x:v>2026-07-06T00:00:00.000Z</x:v>
      </x:c>
      <x:c r="B12" s="24" t="str">
        <x:v>A</x:v>
      </x:c>
      <x:c r="C12" s="24" t="str">
        <x:v>SK Hynix Inc</x:v>
      </x:c>
      <x:c r="D12" s="24" t="str">
        <x:v>SK HYNIX INC</x:v>
      </x:c>
      <x:c r="E12" s="25" t="n">
        <x:v>18</x:v>
      </x:c>
      <x:c r="F12" s="25" t="n">
        <x:v>0</x:v>
      </x:c>
      <x:c r="G12" s="25" t="n">
        <x:v>0</x:v>
      </x:c>
      <x:c r="H12" s="25" t="n">
        <x:f>IF(B12="A",F12,IF(B12="V",G12,F12+G12))</x:f>
        <x:v>0</x:v>
      </x:c>
      <x:c r="I12" s="25" t="n">
        <x:f>H12-E12</x:f>
        <x:v>-18</x:v>
      </x:c>
      <x:c r="J12" s="24" t="str">
        <x:f>IF(AND(F12=0,G12=0),"No same-date transaction",IF(AND(B12="A",F12=0,G12&gt;0),"Direction mismatch: AIRS buy / Leonteq sell",IF(AND(B12="V",G12=0,F12&gt;0),"Direction mismatch: AIRS sell / Leonteq buy",IF(I12=0,"Matches quantity","Quantity differs"))))</x:f>
        <x:v>No same-date transaction</x:v>
      </x:c>
    </x:row>
    <x:row r="13">
      <x:c r="A13" s="23" t="d">
        <x:v>2026-07-06T00:00:00.000Z</x:v>
      </x:c>
      <x:c r="B13" s="24" t="str">
        <x:v>A</x:v>
      </x:c>
      <x:c r="C13" s="24" t="str">
        <x:v>Samsung Electronics</x:v>
      </x:c>
      <x:c r="D13" s="24" t="str">
        <x:v>SAMSUNG ELECTRONICS</x:v>
      </x:c>
      <x:c r="E13" s="25" t="n">
        <x:v>340</x:v>
      </x:c>
      <x:c r="F13" s="25" t="n">
        <x:v>0</x:v>
      </x:c>
      <x:c r="G13" s="25" t="n">
        <x:v>0</x:v>
      </x:c>
      <x:c r="H13" s="25" t="n">
        <x:f>IF(B13="A",F13,IF(B13="V",G13,F13+G13))</x:f>
        <x:v>0</x:v>
      </x:c>
      <x:c r="I13" s="25" t="n">
        <x:f>H13-E13</x:f>
        <x:v>-340</x:v>
      </x:c>
      <x:c r="J13" s="24" t="str">
        <x:f>IF(AND(F13=0,G13=0),"No same-date transaction",IF(AND(B13="A",F13=0,G13&gt;0),"Direction mismatch: AIRS buy / Leonteq sell",IF(AND(B13="V",G13=0,F13&gt;0),"Direction mismatch: AIRS sell / Leonteq buy",IF(I13=0,"Matches quantity","Quantity differs"))))</x:f>
        <x:v>No same-date transaction</x:v>
      </x:c>
    </x:row>
    <x:row r="14">
      <x:c r="A14" s="23" t="d">
        <x:v>2026-07-06T00:00:00.000Z</x:v>
      </x:c>
      <x:c r="B14" s="24" t="str">
        <x:v>A</x:v>
      </x:c>
      <x:c r="C14" s="24" t="str">
        <x:v>Nestle India Ltd</x:v>
      </x:c>
      <x:c r="D14" s="24" t="str">
        <x:v>NESTLE INDIA LTD</x:v>
      </x:c>
      <x:c r="E14" s="25" t="n">
        <x:v>3504</x:v>
      </x:c>
      <x:c r="F14" s="25" t="n">
        <x:v>0</x:v>
      </x:c>
      <x:c r="G14" s="25" t="n">
        <x:v>0</x:v>
      </x:c>
      <x:c r="H14" s="25" t="n">
        <x:f>IF(B14="A",F14,IF(B14="V",G14,F14+G14))</x:f>
        <x:v>0</x:v>
      </x:c>
      <x:c r="I14" s="25" t="n">
        <x:f>H14-E14</x:f>
        <x:v>-3504</x:v>
      </x:c>
      <x:c r="J14" s="24" t="str">
        <x:f>IF(AND(F14=0,G14=0),"No same-date transaction",IF(AND(B14="A",F14=0,G14&gt;0),"Direction mismatch: AIRS buy / Leonteq sell",IF(AND(B14="V",G14=0,F14&gt;0),"Direction mismatch: AIRS sell / Leonteq buy",IF(I14=0,"Matches quantity","Quantity differs"))))</x:f>
        <x:v>No same-date transaction</x:v>
      </x:c>
    </x:row>
    <x:row r="15">
      <x:c r="A15" s="23" t="d">
        <x:v>2026-07-06T00:00:00.000Z</x:v>
      </x:c>
      <x:c r="B15" s="24" t="str">
        <x:v>A</x:v>
      </x:c>
      <x:c r="C15" s="24" t="str">
        <x:v>Nu Holdings Ltd Class A</x:v>
      </x:c>
      <x:c r="D15" s="24" t="str">
        <x:v>NU HOLDINGS LTD/CAYMAN ISL-A</x:v>
      </x:c>
      <x:c r="E15" s="25" t="n">
        <x:v>2944</x:v>
      </x:c>
      <x:c r="F15" s="25" t="n">
        <x:v>2819</x:v>
      </x:c>
      <x:c r="G15" s="25" t="n">
        <x:v>0</x:v>
      </x:c>
      <x:c r="H15" s="25" t="n">
        <x:f>IF(B15="A",F15,IF(B15="V",G15,F15+G15))</x:f>
        <x:v>2819</x:v>
      </x:c>
      <x:c r="I15" s="25" t="n">
        <x:f>H15-E15</x:f>
        <x:v>-125</x:v>
      </x:c>
      <x:c r="J15" s="24" t="str">
        <x:f>IF(AND(F15=0,G15=0),"No same-date transaction",IF(AND(B15="A",F15=0,G15&gt;0),"Direction mismatch: AIRS buy / Leonteq sell",IF(AND(B15="V",G15=0,F15&gt;0),"Direction mismatch: AIRS sell / Leonteq buy",IF(I15=0,"Matches quantity","Quantity differs"))))</x:f>
        <x:v>Quantity differs</x:v>
      </x:c>
    </x:row>
    <x:row r="16">
      <x:c r="A16" s="23" t="d">
        <x:v>2026-07-06T00:00:00.000Z</x:v>
      </x:c>
      <x:c r="B16" s="24" t="str">
        <x:v>A</x:v>
      </x:c>
      <x:c r="C16" s="24" t="str">
        <x:v>Mitsui Kinzoku Co Ltd</x:v>
      </x:c>
      <x:c r="D16" s="24" t="str">
        <x:v>MITSUI MINING SMELTING CO</x:v>
      </x:c>
      <x:c r="E16" s="25" t="n">
        <x:v>214</x:v>
      </x:c>
      <x:c r="F16" s="25" t="n">
        <x:v>211</x:v>
      </x:c>
      <x:c r="G16" s="25" t="n">
        <x:v>0</x:v>
      </x:c>
      <x:c r="H16" s="25" t="n">
        <x:f>IF(B16="A",F16,IF(B16="V",G16,F16+G16))</x:f>
        <x:v>211</x:v>
      </x:c>
      <x:c r="I16" s="25" t="n">
        <x:f>H16-E16</x:f>
        <x:v>-3</x:v>
      </x:c>
      <x:c r="J16" s="24" t="str">
        <x:f>IF(AND(F16=0,G16=0),"No same-date transaction",IF(AND(B16="A",F16=0,G16&gt;0),"Direction mismatch: AIRS buy / Leonteq sell",IF(AND(B16="V",G16=0,F16&gt;0),"Direction mismatch: AIRS sell / Leonteq buy",IF(I16=0,"Matches quantity","Quantity differs"))))</x:f>
        <x:v>Quantity differs</x:v>
      </x:c>
    </x:row>
    <x:row r="17">
      <x:c r="A17" s="23" t="d">
        <x:v>2026-07-06T00:00:00.000Z</x:v>
      </x:c>
      <x:c r="B17" s="24" t="str">
        <x:v>A</x:v>
      </x:c>
      <x:c r="C17" s="24" t="str">
        <x:v>MercadoLibre</x:v>
      </x:c>
      <x:c r="D17" s="24" t="str">
        <x:v>MERCADOLIBRE INC</x:v>
      </x:c>
      <x:c r="E17" s="25" t="n">
        <x:v>26</x:v>
      </x:c>
      <x:c r="F17" s="25" t="n">
        <x:v>25</x:v>
      </x:c>
      <x:c r="G17" s="25" t="n">
        <x:v>0</x:v>
      </x:c>
      <x:c r="H17" s="25" t="n">
        <x:f>IF(B17="A",F17,IF(B17="V",G17,F17+G17))</x:f>
        <x:v>25</x:v>
      </x:c>
      <x:c r="I17" s="25" t="n">
        <x:f>H17-E17</x:f>
        <x:v>-1</x:v>
      </x:c>
      <x:c r="J17" s="24" t="str">
        <x:f>IF(AND(F17=0,G17=0),"No same-date transaction",IF(AND(B17="A",F17=0,G17&gt;0),"Direction mismatch: AIRS buy / Leonteq sell",IF(AND(B17="V",G17=0,F17&gt;0),"Direction mismatch: AIRS sell / Leonteq buy",IF(I17=0,"Matches quantity","Quantity differs"))))</x:f>
        <x:v>Quantity differs</x:v>
      </x:c>
    </x:row>
    <x:row r="18">
      <x:c r="A18" s="23" t="d">
        <x:v>2026-07-06T00:00:00.000Z</x:v>
      </x:c>
      <x:c r="B18" s="24" t="str">
        <x:v>A</x:v>
      </x:c>
      <x:c r="C18" s="24" t="str">
        <x:v>MediaTek Inc.</x:v>
      </x:c>
      <x:c r="D18" s="24" t="str">
        <x:v>MEDIATEK INC</x:v>
      </x:c>
      <x:c r="E18" s="25" t="n">
        <x:v>29</x:v>
      </x:c>
      <x:c r="F18" s="25" t="n">
        <x:v>295</x:v>
      </x:c>
      <x:c r="G18" s="25" t="n">
        <x:v>0</x:v>
      </x:c>
      <x:c r="H18" s="25" t="n">
        <x:f>IF(B18="A",F18,IF(B18="V",G18,F18+G18))</x:f>
        <x:v>295</x:v>
      </x:c>
      <x:c r="I18" s="25" t="n">
        <x:f>H18-E18</x:f>
        <x:v>266</x:v>
      </x:c>
      <x:c r="J18" s="24" t="str">
        <x:f>IF(AND(F18=0,G18=0),"No same-date transaction",IF(AND(B18="A",F18=0,G18&gt;0),"Direction mismatch: AIRS buy / Leonteq sell",IF(AND(B18="V",G18=0,F18&gt;0),"Direction mismatch: AIRS sell / Leonteq buy",IF(I18=0,"Matches quantity","Quantity differs"))))</x:f>
        <x:v>Quantity differs</x:v>
      </x:c>
    </x:row>
    <x:row r="19">
      <x:c r="A19" s="23" t="d">
        <x:v>2026-07-06T00:00:00.000Z</x:v>
      </x:c>
      <x:c r="B19" s="24" t="str">
        <x:v>A</x:v>
      </x:c>
      <x:c r="C19" s="24" t="str">
        <x:v>Larsen &amp; Toubro Limited</x:v>
      </x:c>
      <x:c r="D19" s="24" t="str">
        <x:v>LARSEN &amp; TOUBRO-GDR REG S</x:v>
      </x:c>
      <x:c r="E19" s="25" t="n">
        <x:v>1298</x:v>
      </x:c>
      <x:c r="F19" s="25" t="n">
        <x:v>1283</x:v>
      </x:c>
      <x:c r="G19" s="25" t="n">
        <x:v>0</x:v>
      </x:c>
      <x:c r="H19" s="25" t="n">
        <x:f>IF(B19="A",F19,IF(B19="V",G19,F19+G19))</x:f>
        <x:v>1283</x:v>
      </x:c>
      <x:c r="I19" s="25" t="n">
        <x:f>H19-E19</x:f>
        <x:v>-15</x:v>
      </x:c>
      <x:c r="J19" s="24" t="str">
        <x:f>IF(AND(F19=0,G19=0),"No same-date transaction",IF(AND(B19="A",F19=0,G19&gt;0),"Direction mismatch: AIRS buy / Leonteq sell",IF(AND(B19="V",G19=0,F19&gt;0),"Direction mismatch: AIRS sell / Leonteq buy",IF(I19=0,"Matches quantity","Quantity differs"))))</x:f>
        <x:v>Quantity differs</x:v>
      </x:c>
    </x:row>
    <x:row r="20">
      <x:c r="A20" s="23" t="d">
        <x:v>2026-07-06T00:00:00.000Z</x:v>
      </x:c>
      <x:c r="B20" s="24" t="str">
        <x:v>A</x:v>
      </x:c>
      <x:c r="C20" s="24" t="str">
        <x:v>Keyence</x:v>
      </x:c>
      <x:c r="D20" s="24" t="str">
        <x:v>KEYENCE CORP</x:v>
      </x:c>
      <x:c r="E20" s="25" t="n">
        <x:v>103</x:v>
      </x:c>
      <x:c r="F20" s="25" t="n">
        <x:v>97</x:v>
      </x:c>
      <x:c r="G20" s="25" t="n">
        <x:v>0</x:v>
      </x:c>
      <x:c r="H20" s="25" t="n">
        <x:f>IF(B20="A",F20,IF(B20="V",G20,F20+G20))</x:f>
        <x:v>97</x:v>
      </x:c>
      <x:c r="I20" s="25" t="n">
        <x:f>H20-E20</x:f>
        <x:v>-6</x:v>
      </x:c>
      <x:c r="J20" s="24" t="str">
        <x:f>IF(AND(F20=0,G20=0),"No same-date transaction",IF(AND(B20="A",F20=0,G20&gt;0),"Direction mismatch: AIRS buy / Leonteq sell",IF(AND(B20="V",G20=0,F20&gt;0),"Direction mismatch: AIRS sell / Leonteq buy",IF(I20=0,"Matches quantity","Quantity differs"))))</x:f>
        <x:v>Quantity differs</x:v>
      </x:c>
    </x:row>
    <x:row r="21">
      <x:c r="A21" s="23" t="d">
        <x:v>2026-07-06T00:00:00.000Z</x:v>
      </x:c>
      <x:c r="B21" s="24" t="str">
        <x:v>A</x:v>
      </x:c>
      <x:c r="C21" s="24" t="str">
        <x:v>HOYA Corporation</x:v>
      </x:c>
      <x:c r="D21" s="24" t="str">
        <x:v>HOYA CORP</x:v>
      </x:c>
      <x:c r="E21" s="25" t="n">
        <x:v>410</x:v>
      </x:c>
      <x:c r="F21" s="25" t="n">
        <x:v>413</x:v>
      </x:c>
      <x:c r="G21" s="25" t="n">
        <x:v>0</x:v>
      </x:c>
      <x:c r="H21" s="25" t="n">
        <x:f>IF(B21="A",F21,IF(B21="V",G21,F21+G21))</x:f>
        <x:v>413</x:v>
      </x:c>
      <x:c r="I21" s="25" t="n">
        <x:f>H21-E21</x:f>
        <x:v>3</x:v>
      </x:c>
      <x:c r="J21" s="24" t="str">
        <x:f>IF(AND(F21=0,G21=0),"No same-date transaction",IF(AND(B21="A",F21=0,G21&gt;0),"Direction mismatch: AIRS buy / Leonteq sell",IF(AND(B21="V",G21=0,F21&gt;0),"Direction mismatch: AIRS sell / Leonteq buy",IF(I21=0,"Matches quantity","Quantity differs"))))</x:f>
        <x:v>Quantity differs</x:v>
      </x:c>
    </x:row>
    <x:row r="22">
      <x:c r="A22" s="23" t="d">
        <x:v>2026-07-06T00:00:00.000Z</x:v>
      </x:c>
      <x:c r="B22" s="24" t="str">
        <x:v>A</x:v>
      </x:c>
      <x:c r="C22" s="24" t="str">
        <x:v>Hitachi</x:v>
      </x:c>
      <x:c r="D22" s="24" t="str">
        <x:v>HITACHI LTD</x:v>
      </x:c>
      <x:c r="E22" s="25" t="n">
        <x:v>2199</x:v>
      </x:c>
      <x:c r="F22" s="25" t="n">
        <x:v>2012</x:v>
      </x:c>
      <x:c r="G22" s="25" t="n">
        <x:v>0</x:v>
      </x:c>
      <x:c r="H22" s="25" t="n">
        <x:f>IF(B22="A",F22,IF(B22="V",G22,F22+G22))</x:f>
        <x:v>2012</x:v>
      </x:c>
      <x:c r="I22" s="25" t="n">
        <x:f>H22-E22</x:f>
        <x:v>-187</x:v>
      </x:c>
      <x:c r="J22" s="24" t="str">
        <x:f>IF(AND(F22=0,G22=0),"No same-date transaction",IF(AND(B22="A",F22=0,G22&gt;0),"Direction mismatch: AIRS buy / Leonteq sell",IF(AND(B22="V",G22=0,F22&gt;0),"Direction mismatch: AIRS sell / Leonteq buy",IF(I22=0,"Matches quantity","Quantity differs"))))</x:f>
        <x:v>Quantity differs</x:v>
      </x:c>
    </x:row>
    <x:row r="23">
      <x:c r="A23" s="23" t="d">
        <x:v>2026-07-06T00:00:00.000Z</x:v>
      </x:c>
      <x:c r="B23" s="24" t="str">
        <x:v>A</x:v>
      </x:c>
      <x:c r="C23" s="24" t="str">
        <x:v>HDFC Bank</x:v>
      </x:c>
      <x:c r="D23" s="24" t="str">
        <x:v>HDFC BANK LTD-ADR</x:v>
      </x:c>
      <x:c r="E23" s="25" t="n">
        <x:v>6124</x:v>
      </x:c>
      <x:c r="F23" s="25" t="n">
        <x:v>1791</x:v>
      </x:c>
      <x:c r="G23" s="25" t="n">
        <x:v>0</x:v>
      </x:c>
      <x:c r="H23" s="25" t="n">
        <x:f>IF(B23="A",F23,IF(B23="V",G23,F23+G23))</x:f>
        <x:v>1791</x:v>
      </x:c>
      <x:c r="I23" s="25" t="n">
        <x:f>H23-E23</x:f>
        <x:v>-4333</x:v>
      </x:c>
      <x:c r="J23" s="24" t="str">
        <x:f>IF(AND(F23=0,G23=0),"No same-date transaction",IF(AND(B23="A",F23=0,G23&gt;0),"Direction mismatch: AIRS buy / Leonteq sell",IF(AND(B23="V",G23=0,F23&gt;0),"Direction mismatch: AIRS sell / Leonteq buy",IF(I23=0,"Matches quantity","Quantity differs"))))</x:f>
        <x:v>Quantity differs</x:v>
      </x:c>
    </x:row>
    <x:row r="24">
      <x:c r="A24" s="23" t="d">
        <x:v>2026-07-06T00:00:00.000Z</x:v>
      </x:c>
      <x:c r="B24" s="24" t="str">
        <x:v>A</x:v>
      </x:c>
      <x:c r="C24" s="24" t="str">
        <x:v>Delta Electronics Inc.</x:v>
      </x:c>
      <x:c r="D24" s="24" t="str">
        <x:v>DELTA ELECTRONICS INC</x:v>
      </x:c>
      <x:c r="E24" s="25" t="n">
        <x:v>88</x:v>
      </x:c>
      <x:c r="F24" s="25" t="n">
        <x:v>869</x:v>
      </x:c>
      <x:c r="G24" s="25" t="n">
        <x:v>0</x:v>
      </x:c>
      <x:c r="H24" s="25" t="n">
        <x:f>IF(B24="A",F24,IF(B24="V",G24,F24+G24))</x:f>
        <x:v>869</x:v>
      </x:c>
      <x:c r="I24" s="25" t="n">
        <x:f>H24-E24</x:f>
        <x:v>781</x:v>
      </x:c>
      <x:c r="J24" s="24" t="str">
        <x:f>IF(AND(F24=0,G24=0),"No same-date transaction",IF(AND(B24="A",F24=0,G24&gt;0),"Direction mismatch: AIRS buy / Leonteq sell",IF(AND(B24="V",G24=0,F24&gt;0),"Direction mismatch: AIRS sell / Leonteq buy",IF(I24=0,"Matches quantity","Quantity differs"))))</x:f>
        <x:v>Quantity differs</x:v>
      </x:c>
    </x:row>
    <x:row r="25">
      <x:c r="A25" s="23" t="d">
        <x:v>2026-07-06T00:00:00.000Z</x:v>
      </x:c>
      <x:c r="B25" s="24" t="str">
        <x:v>A</x:v>
      </x:c>
      <x:c r="C25" s="24" t="str">
        <x:v>Baidu</x:v>
      </x:c>
      <x:c r="D25" s="24" t="str">
        <x:v>BAIDU INC-CLASS A</x:v>
      </x:c>
      <x:c r="E25" s="25" t="n">
        <x:v>2024</x:v>
      </x:c>
      <x:c r="F25" s="25" t="n">
        <x:v>1926</x:v>
      </x:c>
      <x:c r="G25" s="25" t="n">
        <x:v>0</x:v>
      </x:c>
      <x:c r="H25" s="25" t="n">
        <x:f>IF(B25="A",F25,IF(B25="V",G25,F25+G25))</x:f>
        <x:v>1926</x:v>
      </x:c>
      <x:c r="I25" s="25" t="n">
        <x:f>H25-E25</x:f>
        <x:v>-98</x:v>
      </x:c>
      <x:c r="J25" s="24" t="str">
        <x:f>IF(AND(F25=0,G25=0),"No same-date transaction",IF(AND(B25="A",F25=0,G25&gt;0),"Direction mismatch: AIRS buy / Leonteq sell",IF(AND(B25="V",G25=0,F25&gt;0),"Direction mismatch: AIRS sell / Leonteq buy",IF(I25=0,"Matches quantity","Quantity differs"))))</x:f>
        <x:v>Quantity differs</x:v>
      </x:c>
    </x:row>
    <x:row r="26">
      <x:c r="A26" s="23" t="d">
        <x:v>2026-07-06T00:00:00.000Z</x:v>
      </x:c>
      <x:c r="B26" s="24" t="str">
        <x:v>A</x:v>
      </x:c>
      <x:c r="C26" s="24" t="str">
        <x:v>Alibaba</x:v>
      </x:c>
      <x:c r="D26" s="24" t="str">
        <x:v>ALIBABA GROUP HOLDING LTD</x:v>
      </x:c>
      <x:c r="E26" s="25" t="n">
        <x:v>2386</x:v>
      </x:c>
      <x:c r="F26" s="25" t="n">
        <x:v>2218</x:v>
      </x:c>
      <x:c r="G26" s="25" t="n">
        <x:v>0</x:v>
      </x:c>
      <x:c r="H26" s="25" t="n">
        <x:f>IF(B26="A",F26,IF(B26="V",G26,F26+G26))</x:f>
        <x:v>2218</x:v>
      </x:c>
      <x:c r="I26" s="25" t="n">
        <x:f>H26-E26</x:f>
        <x:v>-168</x:v>
      </x:c>
      <x:c r="J26" s="24" t="str">
        <x:f>IF(AND(F26=0,G26=0),"No same-date transaction",IF(AND(B26="A",F26=0,G26&gt;0),"Direction mismatch: AIRS buy / Leonteq sell",IF(AND(B26="V",G26=0,F26&gt;0),"Direction mismatch: AIRS sell / Leonteq buy",IF(I26=0,"Matches quantity","Quantity differs"))))</x:f>
        <x:v>Quantity differs</x:v>
      </x:c>
    </x:row>
    <x:row r="27">
      <x:c r="A27" s="23" t="d">
        <x:v>2026-08-04T00:00:00.000Z</x:v>
      </x:c>
      <x:c r="B27" s="24" t="str">
        <x:v>A</x:v>
      </x:c>
      <x:c r="C27" s="24" t="str">
        <x:v>Alibaba</x:v>
      </x:c>
      <x:c r="D27" s="24" t="str">
        <x:v>ALIBABA GROUP HOLDING LTD</x:v>
      </x:c>
      <x:c r="E27" s="25" t="n">
        <x:v>1994</x:v>
      </x:c>
      <x:c r="F27" s="25" t="n">
        <x:v>965</x:v>
      </x:c>
      <x:c r="G27" s="25" t="n">
        <x:v>0</x:v>
      </x:c>
      <x:c r="H27" s="25" t="n">
        <x:f>IF(B27="A",F27,IF(B27="V",G27,F27+G27))</x:f>
        <x:v>965</x:v>
      </x:c>
      <x:c r="I27" s="25" t="n">
        <x:f>H27-E27</x:f>
        <x:v>-1029</x:v>
      </x:c>
      <x:c r="J27" s="24" t="str">
        <x:f>IF(AND(F27=0,G27=0),"No same-date transaction",IF(AND(B27="A",F27=0,G27&gt;0),"Direction mismatch: AIRS buy / Leonteq sell",IF(AND(B27="V",G27=0,F27&gt;0),"Direction mismatch: AIRS sell / Leonteq buy",IF(I27=0,"Matches quantity","Quantity differs"))))</x:f>
        <x:v>Quantity differs</x:v>
      </x:c>
    </x:row>
    <x:row r="28">
      <x:c r="A28" s="23" t="d">
        <x:v>2026-08-04T00:00:00.000Z</x:v>
      </x:c>
      <x:c r="B28" s="24" t="str">
        <x:v>V</x:v>
      </x:c>
      <x:c r="C28" s="24" t="str">
        <x:v>Aia Group Ltd</x:v>
      </x:c>
      <x:c r="D28" s="24" t="str">
        <x:v>AIA GROUP LTD</x:v>
      </x:c>
      <x:c r="E28" s="25" t="n">
        <x:v>687</x:v>
      </x:c>
      <x:c r="F28" s="25" t="n">
        <x:v>1417</x:v>
      </x:c>
      <x:c r="G28" s="25" t="n">
        <x:v>0</x:v>
      </x:c>
      <x:c r="H28" s="25" t="n">
        <x:f>IF(B28="A",F28,IF(B28="V",G28,F28+G28))</x:f>
        <x:v>0</x:v>
      </x:c>
      <x:c r="I28" s="25" t="n">
        <x:f>H28-E28</x:f>
        <x:v>-687</x:v>
      </x:c>
      <x:c r="J28" s="24" t="str">
        <x:f>IF(AND(F28=0,G28=0),"No same-date transaction",IF(AND(B28="A",F28=0,G28&gt;0),"Direction mismatch: AIRS buy / Leonteq sell",IF(AND(B28="V",G28=0,F28&gt;0),"Direction mismatch: AIRS sell / Leonteq buy",IF(I28=0,"Matches quantity","Quantity differs"))))</x:f>
        <x:v>Direction mismatch: AIRS sell / Leonteq buy</x:v>
      </x:c>
    </x:row>
    <x:row r="29">
      <x:c r="A29" s="23" t="d">
        <x:v>2026-08-04T00:00:00.000Z</x:v>
      </x:c>
      <x:c r="B29" s="24" t="str">
        <x:v>A</x:v>
      </x:c>
      <x:c r="C29" s="24" t="str">
        <x:v>Baidu</x:v>
      </x:c>
      <x:c r="D29" s="24" t="str">
        <x:v>BAIDU INC-CLASS A</x:v>
      </x:c>
      <x:c r="E29" s="25" t="n">
        <x:v>2166</x:v>
      </x:c>
      <x:c r="F29" s="25" t="n">
        <x:v>931</x:v>
      </x:c>
      <x:c r="G29" s="25" t="n">
        <x:v>0</x:v>
      </x:c>
      <x:c r="H29" s="25" t="n">
        <x:f>IF(B29="A",F29,IF(B29="V",G29,F29+G29))</x:f>
        <x:v>931</x:v>
      </x:c>
      <x:c r="I29" s="25" t="n">
        <x:f>H29-E29</x:f>
        <x:v>-1235</x:v>
      </x:c>
      <x:c r="J29" s="24" t="str">
        <x:f>IF(AND(F29=0,G29=0),"No same-date transaction",IF(AND(B29="A",F29=0,G29&gt;0),"Direction mismatch: AIRS buy / Leonteq sell",IF(AND(B29="V",G29=0,F29&gt;0),"Direction mismatch: AIRS sell / Leonteq buy",IF(I29=0,"Matches quantity","Quantity differs"))))</x:f>
        <x:v>Quantity differs</x:v>
      </x:c>
    </x:row>
    <x:row r="30">
      <x:c r="A30" s="23" t="d">
        <x:v>2026-08-04T00:00:00.000Z</x:v>
      </x:c>
      <x:c r="B30" s="24" t="str">
        <x:v>A</x:v>
      </x:c>
      <x:c r="C30" s="24" t="str">
        <x:v>Tokyo Electron</x:v>
      </x:c>
      <x:c r="D30" s="24" t="str">
        <x:v>TOKYO ELECTRON LTD</x:v>
      </x:c>
      <x:c r="E30" s="25" t="n">
        <x:v>24</x:v>
      </x:c>
      <x:c r="F30" s="25" t="n">
        <x:v>18</x:v>
      </x:c>
      <x:c r="G30" s="25" t="n">
        <x:v>0</x:v>
      </x:c>
      <x:c r="H30" s="25" t="n">
        <x:f>IF(B30="A",F30,IF(B30="V",G30,F30+G30))</x:f>
        <x:v>18</x:v>
      </x:c>
      <x:c r="I30" s="25" t="n">
        <x:f>H30-E30</x:f>
        <x:v>-6</x:v>
      </x:c>
      <x:c r="J30" s="24" t="str">
        <x:f>IF(AND(F30=0,G30=0),"No same-date transaction",IF(AND(B30="A",F30=0,G30&gt;0),"Direction mismatch: AIRS buy / Leonteq sell",IF(AND(B30="V",G30=0,F30&gt;0),"Direction mismatch: AIRS sell / Leonteq buy",IF(I30=0,"Matches quantity","Quantity differs"))))</x:f>
        <x:v>Quantity differs</x:v>
      </x:c>
    </x:row>
    <x:row r="31">
      <x:c r="A31" s="23" t="d">
        <x:v>2026-08-04T00:00:00.000Z</x:v>
      </x:c>
      <x:c r="B31" s="24" t="str">
        <x:v>V</x:v>
      </x:c>
      <x:c r="C31" s="24" t="str">
        <x:v>Toyota</x:v>
      </x:c>
      <x:c r="D31" s="24" t="str">
        <x:v>TOYOTA MOTOR CORP-REG</x:v>
      </x:c>
      <x:c r="E31" s="25" t="n">
        <x:v>267</x:v>
      </x:c>
      <x:c r="F31" s="25" t="n">
        <x:v>779</x:v>
      </x:c>
      <x:c r="G31" s="25" t="n">
        <x:v>0</x:v>
      </x:c>
      <x:c r="H31" s="25" t="n">
        <x:f>IF(B31="A",F31,IF(B31="V",G31,F31+G31))</x:f>
        <x:v>0</x:v>
      </x:c>
      <x:c r="I31" s="25" t="n">
        <x:f>H31-E31</x:f>
        <x:v>-267</x:v>
      </x:c>
      <x:c r="J31" s="24" t="str">
        <x:f>IF(AND(F31=0,G31=0),"No same-date transaction",IF(AND(B31="A",F31=0,G31&gt;0),"Direction mismatch: AIRS buy / Leonteq sell",IF(AND(B31="V",G31=0,F31&gt;0),"Direction mismatch: AIRS sell / Leonteq buy",IF(I31=0,"Matches quantity","Quantity differs"))))</x:f>
        <x:v>Direction mismatch: AIRS sell / Leonteq buy</x:v>
      </x:c>
    </x:row>
    <x:row r="32">
      <x:c r="A32" s="23" t="d">
        <x:v>2026-08-04T00:00:00.000Z</x:v>
      </x:c>
      <x:c r="B32" s="24" t="str">
        <x:v>V</x:v>
      </x:c>
      <x:c r="C32" s="24" t="str">
        <x:v>Tokio Marine</x:v>
      </x:c>
      <x:c r="D32" s="24" t="str">
        <x:v>TOKIO MARINE HOLDINGS INC</x:v>
      </x:c>
      <x:c r="E32" s="25" t="n">
        <x:v>105</x:v>
      </x:c>
      <x:c r="F32" s="25" t="n">
        <x:v>301</x:v>
      </x:c>
      <x:c r="G32" s="25" t="n">
        <x:v>0</x:v>
      </x:c>
      <x:c r="H32" s="25" t="n">
        <x:f>IF(B32="A",F32,IF(B32="V",G32,F32+G32))</x:f>
        <x:v>0</x:v>
      </x:c>
      <x:c r="I32" s="25" t="n">
        <x:f>H32-E32</x:f>
        <x:v>-105</x:v>
      </x:c>
      <x:c r="J32" s="24" t="str">
        <x:f>IF(AND(F32=0,G32=0),"No same-date transaction",IF(AND(B32="A",F32=0,G32&gt;0),"Direction mismatch: AIRS buy / Leonteq sell",IF(AND(B32="V",G32=0,F32&gt;0),"Direction mismatch: AIRS sell / Leonteq buy",IF(I32=0,"Matches quantity","Quantity differs"))))</x:f>
        <x:v>Direction mismatch: AIRS sell / Leonteq buy</x:v>
      </x:c>
    </x:row>
    <x:row r="33">
      <x:c r="A33" s="23" t="d">
        <x:v>2026-08-04T00:00:00.000Z</x:v>
      </x:c>
      <x:c r="B33" s="24" t="str">
        <x:v>V</x:v>
      </x:c>
      <x:c r="C33" s="24" t="str">
        <x:v>Tencent Holdings Ltd.</x:v>
      </x:c>
      <x:c r="D33" s="24" t="str">
        <x:v>TENCENT HOLDINGS LTD</x:v>
      </x:c>
      <x:c r="E33" s="25" t="n">
        <x:v>181</x:v>
      </x:c>
      <x:c r="F33" s="25" t="n">
        <x:v>275</x:v>
      </x:c>
      <x:c r="G33" s="25" t="n">
        <x:v>0</x:v>
      </x:c>
      <x:c r="H33" s="25" t="n">
        <x:f>IF(B33="A",F33,IF(B33="V",G33,F33+G33))</x:f>
        <x:v>0</x:v>
      </x:c>
      <x:c r="I33" s="25" t="n">
        <x:f>H33-E33</x:f>
        <x:v>-181</x:v>
      </x:c>
      <x:c r="J33" s="24" t="str">
        <x:f>IF(AND(F33=0,G33=0),"No same-date transaction",IF(AND(B33="A",F33=0,G33&gt;0),"Direction mismatch: AIRS buy / Leonteq sell",IF(AND(B33="V",G33=0,F33&gt;0),"Direction mismatch: AIRS sell / Leonteq buy",IF(I33=0,"Matches quantity","Quantity differs"))))</x:f>
        <x:v>Direction mismatch: AIRS sell / Leonteq buy</x:v>
      </x:c>
    </x:row>
    <x:row r="34">
      <x:c r="A34" s="23" t="d">
        <x:v>2026-08-04T00:00:00.000Z</x:v>
      </x:c>
      <x:c r="B34" s="24" t="str">
        <x:v>A</x:v>
      </x:c>
      <x:c r="C34" s="24" t="str">
        <x:v>Taiwan Semiconductor Manufact.</x:v>
      </x:c>
      <x:c r="D34" s="24" t="str">
        <x:v>TAIWAN SEMICONDUCTOR MANUFACTURING CO</x:v>
      </x:c>
      <x:c r="E34" s="25" t="n">
        <x:v>1021</x:v>
      </x:c>
      <x:c r="F34" s="25" t="n">
        <x:v>208</x:v>
      </x:c>
      <x:c r="G34" s="25" t="n">
        <x:v>0</x:v>
      </x:c>
      <x:c r="H34" s="25" t="n">
        <x:f>IF(B34="A",F34,IF(B34="V",G34,F34+G34))</x:f>
        <x:v>208</x:v>
      </x:c>
      <x:c r="I34" s="25" t="n">
        <x:f>H34-E34</x:f>
        <x:v>-813</x:v>
      </x:c>
      <x:c r="J34" s="24" t="str">
        <x:f>IF(AND(F34=0,G34=0),"No same-date transaction",IF(AND(B34="A",F34=0,G34&gt;0),"Direction mismatch: AIRS buy / Leonteq sell",IF(AND(B34="V",G34=0,F34&gt;0),"Direction mismatch: AIRS sell / Leonteq buy",IF(I34=0,"Matches quantity","Quantity differs"))))</x:f>
        <x:v>Quantity differs</x:v>
      </x:c>
    </x:row>
    <x:row r="35">
      <x:c r="A35" s="23" t="d">
        <x:v>2026-08-04T00:00:00.000Z</x:v>
      </x:c>
      <x:c r="B35" s="24" t="str">
        <x:v>V</x:v>
      </x:c>
      <x:c r="C35" s="24" t="str">
        <x:v>Sony</x:v>
      </x:c>
      <x:c r="D35" s="24" t="str">
        <x:v>SONY GROUP CORP</x:v>
      </x:c>
      <x:c r="E35" s="25" t="n">
        <x:v>123</x:v>
      </x:c>
      <x:c r="F35" s="25" t="n">
        <x:v>408</x:v>
      </x:c>
      <x:c r="G35" s="25" t="n">
        <x:v>0</x:v>
      </x:c>
      <x:c r="H35" s="25" t="n">
        <x:f>IF(B35="A",F35,IF(B35="V",G35,F35+G35))</x:f>
        <x:v>0</x:v>
      </x:c>
      <x:c r="I35" s="25" t="n">
        <x:f>H35-E35</x:f>
        <x:v>-123</x:v>
      </x:c>
      <x:c r="J35" s="24" t="str">
        <x:f>IF(AND(F35=0,G35=0),"No same-date transaction",IF(AND(B35="A",F35=0,G35&gt;0),"Direction mismatch: AIRS buy / Leonteq sell",IF(AND(B35="V",G35=0,F35&gt;0),"Direction mismatch: AIRS sell / Leonteq buy",IF(I35=0,"Matches quantity","Quantity differs"))))</x:f>
        <x:v>Direction mismatch: AIRS sell / Leonteq buy</x:v>
      </x:c>
    </x:row>
    <x:row r="36">
      <x:c r="A36" s="23" t="d">
        <x:v>2026-08-04T00:00:00.000Z</x:v>
      </x:c>
      <x:c r="B36" s="24" t="str">
        <x:v>A</x:v>
      </x:c>
      <x:c r="C36" s="24" t="str">
        <x:v>SK Hynix Inc</x:v>
      </x:c>
      <x:c r="D36" s="24" t="str">
        <x:v>SK HYNIX INC</x:v>
      </x:c>
      <x:c r="E36" s="25" t="n">
        <x:v>8</x:v>
      </x:c>
      <x:c r="F36" s="25" t="n">
        <x:v>0</x:v>
      </x:c>
      <x:c r="G36" s="25" t="n">
        <x:v>0</x:v>
      </x:c>
      <x:c r="H36" s="25" t="n">
        <x:f>IF(B36="A",F36,IF(B36="V",G36,F36+G36))</x:f>
        <x:v>0</x:v>
      </x:c>
      <x:c r="I36" s="25" t="n">
        <x:f>H36-E36</x:f>
        <x:v>-8</x:v>
      </x:c>
      <x:c r="J36" s="24" t="str">
        <x:f>IF(AND(F36=0,G36=0),"No same-date transaction",IF(AND(B36="A",F36=0,G36&gt;0),"Direction mismatch: AIRS buy / Leonteq sell",IF(AND(B36="V",G36=0,F36&gt;0),"Direction mismatch: AIRS sell / Leonteq buy",IF(I36=0,"Matches quantity","Quantity differs"))))</x:f>
        <x:v>No same-date transaction</x:v>
      </x:c>
    </x:row>
    <x:row r="37">
      <x:c r="A37" s="23" t="d">
        <x:v>2026-08-04T00:00:00.000Z</x:v>
      </x:c>
      <x:c r="B37" s="24" t="str">
        <x:v>A</x:v>
      </x:c>
      <x:c r="C37" s="24" t="str">
        <x:v>Samsung Electronics</x:v>
      </x:c>
      <x:c r="D37" s="24" t="str">
        <x:v>SAMSUNG ELECTRONICS</x:v>
      </x:c>
      <x:c r="E37" s="25" t="n">
        <x:v>70</x:v>
      </x:c>
      <x:c r="F37" s="25" t="n">
        <x:v>0</x:v>
      </x:c>
      <x:c r="G37" s="25" t="n">
        <x:v>0</x:v>
      </x:c>
      <x:c r="H37" s="25" t="n">
        <x:f>IF(B37="A",F37,IF(B37="V",G37,F37+G37))</x:f>
        <x:v>0</x:v>
      </x:c>
      <x:c r="I37" s="25" t="n">
        <x:f>H37-E37</x:f>
        <x:v>-70</x:v>
      </x:c>
      <x:c r="J37" s="24" t="str">
        <x:f>IF(AND(F37=0,G37=0),"No same-date transaction",IF(AND(B37="A",F37=0,G37&gt;0),"Direction mismatch: AIRS buy / Leonteq sell",IF(AND(B37="V",G37=0,F37&gt;0),"Direction mismatch: AIRS sell / Leonteq buy",IF(I37=0,"Matches quantity","Quantity differs"))))</x:f>
        <x:v>No same-date transaction</x:v>
      </x:c>
    </x:row>
    <x:row r="38">
      <x:c r="A38" s="23" t="d">
        <x:v>2026-08-04T00:00:00.000Z</x:v>
      </x:c>
      <x:c r="B38" s="24" t="str">
        <x:v>V</x:v>
      </x:c>
      <x:c r="C38" s="24" t="str">
        <x:v>Nu Holdings Ltd Class A</x:v>
      </x:c>
      <x:c r="D38" s="24" t="str">
        <x:v>NU HOLDINGS LTD/CAYMAN ISL-A</x:v>
      </x:c>
      <x:c r="E38" s="25" t="n">
        <x:v>192</x:v>
      </x:c>
      <x:c r="F38" s="25" t="n">
        <x:v>642</x:v>
      </x:c>
      <x:c r="G38" s="25" t="n">
        <x:v>0</x:v>
      </x:c>
      <x:c r="H38" s="25" t="n">
        <x:f>IF(B38="A",F38,IF(B38="V",G38,F38+G38))</x:f>
        <x:v>0</x:v>
      </x:c>
      <x:c r="I38" s="25" t="n">
        <x:f>H38-E38</x:f>
        <x:v>-192</x:v>
      </x:c>
      <x:c r="J38" s="24" t="str">
        <x:f>IF(AND(F38=0,G38=0),"No same-date transaction",IF(AND(B38="A",F38=0,G38&gt;0),"Direction mismatch: AIRS buy / Leonteq sell",IF(AND(B38="V",G38=0,F38&gt;0),"Direction mismatch: AIRS sell / Leonteq buy",IF(I38=0,"Matches quantity","Quantity differs"))))</x:f>
        <x:v>Direction mismatch: AIRS sell / Leonteq buy</x:v>
      </x:c>
    </x:row>
    <x:row r="39">
      <x:c r="A39" s="23" t="d">
        <x:v>2026-08-04T00:00:00.000Z</x:v>
      </x:c>
      <x:c r="B39" s="24" t="str">
        <x:v>V</x:v>
      </x:c>
      <x:c r="C39" s="24" t="str">
        <x:v>Nestle India Ltd</x:v>
      </x:c>
      <x:c r="D39" s="24" t="str">
        <x:v>NESTLE INDIA LTD</x:v>
      </x:c>
      <x:c r="E39" s="25" t="n">
        <x:v>3504</x:v>
      </x:c>
      <x:c r="F39" s="25" t="n">
        <x:v>0</x:v>
      </x:c>
      <x:c r="G39" s="25" t="n">
        <x:v>0</x:v>
      </x:c>
      <x:c r="H39" s="25" t="n">
        <x:f>IF(B39="A",F39,IF(B39="V",G39,F39+G39))</x:f>
        <x:v>0</x:v>
      </x:c>
      <x:c r="I39" s="25" t="n">
        <x:f>H39-E39</x:f>
        <x:v>-3504</x:v>
      </x:c>
      <x:c r="J39" s="24" t="str">
        <x:f>IF(AND(F39=0,G39=0),"No same-date transaction",IF(AND(B39="A",F39=0,G39&gt;0),"Direction mismatch: AIRS buy / Leonteq sell",IF(AND(B39="V",G39=0,F39&gt;0),"Direction mismatch: AIRS sell / Leonteq buy",IF(I39=0,"Matches quantity","Quantity differs"))))</x:f>
        <x:v>No same-date transaction</x:v>
      </x:c>
    </x:row>
    <x:row r="40">
      <x:c r="A40" s="23" t="d">
        <x:v>2026-08-04T00:00:00.000Z</x:v>
      </x:c>
      <x:c r="B40" s="24" t="str">
        <x:v>V</x:v>
      </x:c>
      <x:c r="C40" s="24" t="str">
        <x:v>Mitsui Kinzoku Co Ltd</x:v>
      </x:c>
      <x:c r="D40" s="24" t="str">
        <x:v>MITSUI MINING SMELTING CO</x:v>
      </x:c>
      <x:c r="E40" s="25" t="n">
        <x:v>214</x:v>
      </x:c>
      <x:c r="F40" s="25" t="n">
        <x:v>0</x:v>
      </x:c>
      <x:c r="G40" s="25" t="n">
        <x:v>0</x:v>
      </x:c>
      <x:c r="H40" s="25" t="n">
        <x:f>IF(B40="A",F40,IF(B40="V",G40,F40+G40))</x:f>
        <x:v>0</x:v>
      </x:c>
      <x:c r="I40" s="25" t="n">
        <x:f>H40-E40</x:f>
        <x:v>-214</x:v>
      </x:c>
      <x:c r="J40" s="24" t="str">
        <x:f>IF(AND(F40=0,G40=0),"No same-date transaction",IF(AND(B40="A",F40=0,G40&gt;0),"Direction mismatch: AIRS buy / Leonteq sell",IF(AND(B40="V",G40=0,F40&gt;0),"Direction mismatch: AIRS sell / Leonteq buy",IF(I40=0,"Matches quantity","Quantity differs"))))</x:f>
        <x:v>No same-date transaction</x:v>
      </x:c>
    </x:row>
    <x:row r="41">
      <x:c r="A41" s="23" t="d">
        <x:v>2026-08-04T00:00:00.000Z</x:v>
      </x:c>
      <x:c r="B41" s="24" t="str">
        <x:v>A</x:v>
      </x:c>
      <x:c r="C41" s="24" t="str">
        <x:v>Mitsubishi UFJ Financial</x:v>
      </x:c>
      <x:c r="D41" s="24" t="str">
        <x:v>MITSUBISHI UFJ FINANCIAL GRO</x:v>
      </x:c>
      <x:c r="E41" s="25" t="n">
        <x:v>2347</x:v>
      </x:c>
      <x:c r="F41" s="25" t="n">
        <x:v>610</x:v>
      </x:c>
      <x:c r="G41" s="25" t="n">
        <x:v>0</x:v>
      </x:c>
      <x:c r="H41" s="25" t="n">
        <x:f>IF(B41="A",F41,IF(B41="V",G41,F41+G41))</x:f>
        <x:v>610</x:v>
      </x:c>
      <x:c r="I41" s="25" t="n">
        <x:f>H41-E41</x:f>
        <x:v>-1737</x:v>
      </x:c>
      <x:c r="J41" s="24" t="str">
        <x:f>IF(AND(F41=0,G41=0),"No same-date transaction",IF(AND(B41="A",F41=0,G41&gt;0),"Direction mismatch: AIRS buy / Leonteq sell",IF(AND(B41="V",G41=0,F41&gt;0),"Direction mismatch: AIRS sell / Leonteq buy",IF(I41=0,"Matches quantity","Quantity differs"))))</x:f>
        <x:v>Quantity differs</x:v>
      </x:c>
    </x:row>
    <x:row r="42">
      <x:c r="A42" s="23" t="d">
        <x:v>2026-08-04T00:00:00.000Z</x:v>
      </x:c>
      <x:c r="B42" s="24" t="str">
        <x:v>V</x:v>
      </x:c>
      <x:c r="C42" s="24" t="str">
        <x:v>MercadoLibre</x:v>
      </x:c>
      <x:c r="D42" s="24" t="str">
        <x:v>MERCADOLIBRE INC</x:v>
      </x:c>
      <x:c r="E42" s="25" t="n">
        <x:v>2</x:v>
      </x:c>
      <x:c r="F42" s="25" t="n">
        <x:v>5</x:v>
      </x:c>
      <x:c r="G42" s="25" t="n">
        <x:v>0</x:v>
      </x:c>
      <x:c r="H42" s="25" t="n">
        <x:f>IF(B42="A",F42,IF(B42="V",G42,F42+G42))</x:f>
        <x:v>0</x:v>
      </x:c>
      <x:c r="I42" s="25" t="n">
        <x:f>H42-E42</x:f>
        <x:v>-2</x:v>
      </x:c>
      <x:c r="J42" s="24" t="str">
        <x:f>IF(AND(F42=0,G42=0),"No same-date transaction",IF(AND(B42="A",F42=0,G42&gt;0),"Direction mismatch: AIRS buy / Leonteq sell",IF(AND(B42="V",G42=0,F42&gt;0),"Direction mismatch: AIRS sell / Leonteq buy",IF(I42=0,"Matches quantity","Quantity differs"))))</x:f>
        <x:v>Direction mismatch: AIRS sell / Leonteq buy</x:v>
      </x:c>
    </x:row>
    <x:row r="43">
      <x:c r="A43" s="23" t="d">
        <x:v>2026-08-04T00:00:00.000Z</x:v>
      </x:c>
      <x:c r="B43" s="24" t="str">
        <x:v>A</x:v>
      </x:c>
      <x:c r="C43" s="24" t="str">
        <x:v>MediaTek Inc.</x:v>
      </x:c>
      <x:c r="D43" s="24" t="str">
        <x:v>MEDIATEK INC</x:v>
      </x:c>
      <x:c r="E43" s="25" t="n">
        <x:v>282</x:v>
      </x:c>
      <x:c r="F43" s="25" t="n">
        <x:v>64</x:v>
      </x:c>
      <x:c r="G43" s="25" t="n">
        <x:v>0</x:v>
      </x:c>
      <x:c r="H43" s="25" t="n">
        <x:f>IF(B43="A",F43,IF(B43="V",G43,F43+G43))</x:f>
        <x:v>64</x:v>
      </x:c>
      <x:c r="I43" s="25" t="n">
        <x:f>H43-E43</x:f>
        <x:v>-218</x:v>
      </x:c>
      <x:c r="J43" s="24" t="str">
        <x:f>IF(AND(F43=0,G43=0),"No same-date transaction",IF(AND(B43="A",F43=0,G43&gt;0),"Direction mismatch: AIRS buy / Leonteq sell",IF(AND(B43="V",G43=0,F43&gt;0),"Direction mismatch: AIRS sell / Leonteq buy",IF(I43=0,"Matches quantity","Quantity differs"))))</x:f>
        <x:v>Quantity differs</x:v>
      </x:c>
    </x:row>
    <x:row r="44">
      <x:c r="A44" s="23" t="d">
        <x:v>2026-08-04T00:00:00.000Z</x:v>
      </x:c>
      <x:c r="B44" s="24" t="str">
        <x:v>A</x:v>
      </x:c>
      <x:c r="C44" s="24" t="str">
        <x:v>Larsen &amp; Toubro Limited</x:v>
      </x:c>
      <x:c r="D44" s="24" t="str">
        <x:v>LARSEN &amp; TOUBRO-GDR REG S</x:v>
      </x:c>
      <x:c r="E44" s="25" t="n">
        <x:v>53</x:v>
      </x:c>
      <x:c r="F44" s="25" t="n">
        <x:v>280</x:v>
      </x:c>
      <x:c r="G44" s="25" t="n">
        <x:v>0</x:v>
      </x:c>
      <x:c r="H44" s="25" t="n">
        <x:f>IF(B44="A",F44,IF(B44="V",G44,F44+G44))</x:f>
        <x:v>280</x:v>
      </x:c>
      <x:c r="I44" s="25" t="n">
        <x:f>H44-E44</x:f>
        <x:v>227</x:v>
      </x:c>
      <x:c r="J44" s="24" t="str">
        <x:f>IF(AND(F44=0,G44=0),"No same-date transaction",IF(AND(B44="A",F44=0,G44&gt;0),"Direction mismatch: AIRS buy / Leonteq sell",IF(AND(B44="V",G44=0,F44&gt;0),"Direction mismatch: AIRS sell / Leonteq buy",IF(I44=0,"Matches quantity","Quantity differs"))))</x:f>
        <x:v>Quantity differs</x:v>
      </x:c>
    </x:row>
    <x:row r="45">
      <x:c r="A45" s="23" t="d">
        <x:v>2026-08-04T00:00:00.000Z</x:v>
      </x:c>
      <x:c r="B45" s="24" t="str">
        <x:v>V</x:v>
      </x:c>
      <x:c r="C45" s="24" t="str">
        <x:v>Keyence</x:v>
      </x:c>
      <x:c r="D45" s="24" t="str">
        <x:v>KEYENCE CORP</x:v>
      </x:c>
      <x:c r="E45" s="25" t="n">
        <x:v>11</x:v>
      </x:c>
      <x:c r="F45" s="25" t="n">
        <x:v>19</x:v>
      </x:c>
      <x:c r="G45" s="25" t="n">
        <x:v>0</x:v>
      </x:c>
      <x:c r="H45" s="25" t="n">
        <x:f>IF(B45="A",F45,IF(B45="V",G45,F45+G45))</x:f>
        <x:v>0</x:v>
      </x:c>
      <x:c r="I45" s="25" t="n">
        <x:f>H45-E45</x:f>
        <x:v>-11</x:v>
      </x:c>
      <x:c r="J45" s="24" t="str">
        <x:f>IF(AND(F45=0,G45=0),"No same-date transaction",IF(AND(B45="A",F45=0,G45&gt;0),"Direction mismatch: AIRS buy / Leonteq sell",IF(AND(B45="V",G45=0,F45&gt;0),"Direction mismatch: AIRS sell / Leonteq buy",IF(I45=0,"Matches quantity","Quantity differs"))))</x:f>
        <x:v>Direction mismatch: AIRS sell / Leonteq buy</x:v>
      </x:c>
    </x:row>
    <x:row r="46">
      <x:c r="A46" s="23" t="d">
        <x:v>2026-08-04T00:00:00.000Z</x:v>
      </x:c>
      <x:c r="B46" s="24" t="str">
        <x:v>V</x:v>
      </x:c>
      <x:c r="C46" s="24" t="str">
        <x:v>HOYA Corporation</x:v>
      </x:c>
      <x:c r="D46" s="24" t="str">
        <x:v>HOYA CORP</x:v>
      </x:c>
      <x:c r="E46" s="25" t="n">
        <x:v>47</x:v>
      </x:c>
      <x:c r="F46" s="25" t="n">
        <x:v>77</x:v>
      </x:c>
      <x:c r="G46" s="25" t="n">
        <x:v>0</x:v>
      </x:c>
      <x:c r="H46" s="25" t="n">
        <x:f>IF(B46="A",F46,IF(B46="V",G46,F46+G46))</x:f>
        <x:v>0</x:v>
      </x:c>
      <x:c r="I46" s="25" t="n">
        <x:f>H46-E46</x:f>
        <x:v>-47</x:v>
      </x:c>
      <x:c r="J46" s="24" t="str">
        <x:f>IF(AND(F46=0,G46=0),"No same-date transaction",IF(AND(B46="A",F46=0,G46&gt;0),"Direction mismatch: AIRS buy / Leonteq sell",IF(AND(B46="V",G46=0,F46&gt;0),"Direction mismatch: AIRS sell / Leonteq buy",IF(I46=0,"Matches quantity","Quantity differs"))))</x:f>
        <x:v>Direction mismatch: AIRS sell / Leonteq buy</x:v>
      </x:c>
    </x:row>
    <x:row r="47">
      <x:c r="A47" s="23" t="d">
        <x:v>2026-08-04T00:00:00.000Z</x:v>
      </x:c>
      <x:c r="B47" s="24" t="str">
        <x:v>V</x:v>
      </x:c>
      <x:c r="C47" s="24" t="str">
        <x:v>Hitachi</x:v>
      </x:c>
      <x:c r="D47" s="24" t="str">
        <x:v>HITACHI LTD</x:v>
      </x:c>
      <x:c r="E47" s="25" t="n">
        <x:v>286</x:v>
      </x:c>
      <x:c r="F47" s="25" t="n">
        <x:v>412</x:v>
      </x:c>
      <x:c r="G47" s="25" t="n">
        <x:v>0</x:v>
      </x:c>
      <x:c r="H47" s="25" t="n">
        <x:f>IF(B47="A",F47,IF(B47="V",G47,F47+G47))</x:f>
        <x:v>0</x:v>
      </x:c>
      <x:c r="I47" s="25" t="n">
        <x:f>H47-E47</x:f>
        <x:v>-286</x:v>
      </x:c>
      <x:c r="J47" s="24" t="str">
        <x:f>IF(AND(F47=0,G47=0),"No same-date transaction",IF(AND(B47="A",F47=0,G47&gt;0),"Direction mismatch: AIRS buy / Leonteq sell",IF(AND(B47="V",G47=0,F47&gt;0),"Direction mismatch: AIRS sell / Leonteq buy",IF(I47=0,"Matches quantity","Quantity differs"))))</x:f>
        <x:v>Direction mismatch: AIRS sell / Leonteq buy</x:v>
      </x:c>
    </x:row>
    <x:row r="48">
      <x:c r="A48" s="23" t="d">
        <x:v>2026-08-04T00:00:00.000Z</x:v>
      </x:c>
      <x:c r="B48" s="24" t="str">
        <x:v>A</x:v>
      </x:c>
      <x:c r="C48" s="24" t="str">
        <x:v>HDFC Bank</x:v>
      </x:c>
      <x:c r="D48" s="24" t="str">
        <x:v>HDFC BANK LTD-ADR</x:v>
      </x:c>
      <x:c r="E48" s="25" t="n">
        <x:v>546</x:v>
      </x:c>
      <x:c r="F48" s="25" t="n">
        <x:v>401</x:v>
      </x:c>
      <x:c r="G48" s="25" t="n">
        <x:v>0</x:v>
      </x:c>
      <x:c r="H48" s="25" t="n">
        <x:f>IF(B48="A",F48,IF(B48="V",G48,F48+G48))</x:f>
        <x:v>401</x:v>
      </x:c>
      <x:c r="I48" s="25" t="n">
        <x:f>H48-E48</x:f>
        <x:v>-145</x:v>
      </x:c>
      <x:c r="J48" s="24" t="str">
        <x:f>IF(AND(F48=0,G48=0),"No same-date transaction",IF(AND(B48="A",F48=0,G48&gt;0),"Direction mismatch: AIRS buy / Leonteq sell",IF(AND(B48="V",G48=0,F48&gt;0),"Direction mismatch: AIRS sell / Leonteq buy",IF(I48=0,"Matches quantity","Quantity differs"))))</x:f>
        <x:v>Quantity differs</x:v>
      </x:c>
    </x:row>
    <x:row r="49">
      <x:c r="A49" s="23" t="d">
        <x:v>2026-08-04T00:00:00.000Z</x:v>
      </x:c>
      <x:c r="B49" s="24" t="str">
        <x:v>A</x:v>
      </x:c>
      <x:c r="C49" s="24" t="str">
        <x:v>Delta Electronics Inc.</x:v>
      </x:c>
      <x:c r="D49" s="24" t="str">
        <x:v>DELTA ELECTRONICS INC</x:v>
      </x:c>
      <x:c r="E49" s="25" t="n">
        <x:v>1064</x:v>
      </x:c>
      <x:c r="F49" s="25" t="n">
        <x:v>324</x:v>
      </x:c>
      <x:c r="G49" s="25" t="n">
        <x:v>0</x:v>
      </x:c>
      <x:c r="H49" s="25" t="n">
        <x:f>IF(B49="A",F49,IF(B49="V",G49,F49+G49))</x:f>
        <x:v>324</x:v>
      </x:c>
      <x:c r="I49" s="25" t="n">
        <x:f>H49-E49</x:f>
        <x:v>-740</x:v>
      </x:c>
      <x:c r="J49" s="24" t="str">
        <x:f>IF(AND(F49=0,G49=0),"No same-date transaction",IF(AND(B49="A",F49=0,G49&gt;0),"Direction mismatch: AIRS buy / Leonteq sell",IF(AND(B49="V",G49=0,F49&gt;0),"Direction mismatch: AIRS sell / Leonteq buy",IF(I49=0,"Matches quantity","Quantity differs"))))</x:f>
        <x:v>Quantity differs</x:v>
      </x:c>
    </x:row>
    <x:row r="50">
      <x:c r="A50" s="23" t="d">
        <x:v>2026-10-01T00:00:00.000Z</x:v>
      </x:c>
      <x:c r="B50" s="24" t="str">
        <x:v>D</x:v>
      </x:c>
      <x:c r="C50" s="24" t="str">
        <x:v>Tokyo Electron</x:v>
      </x:c>
      <x:c r="D50" s="24" t="str">
        <x:v>TOKYO ELECTRON LTD</x:v>
      </x:c>
      <x:c r="E50" s="25" t="n">
        <x:v>448</x:v>
      </x:c>
      <x:c r="F50" s="25" t="n">
        <x:v>0</x:v>
      </x:c>
      <x:c r="G50" s="25" t="n">
        <x:v>0</x:v>
      </x:c>
      <x:c r="H50" s="25" t="n">
        <x:f>IF(B50="A",F50,IF(B50="V",G50,F50+G50))</x:f>
        <x:v>0</x:v>
      </x:c>
      <x:c r="I50" s="25" t="n">
        <x:f>H50-E50</x:f>
        <x:v>-448</x:v>
      </x:c>
      <x:c r="J50" s="24" t="str">
        <x:f>IF(AND(F50=0,G50=0),"No same-date transaction",IF(AND(B50="A",F50=0,G50&gt;0),"Direction mismatch: AIRS buy / Leonteq sell",IF(AND(B50="V",G50=0,F50&gt;0),"Direction mismatch: AIRS sell / Leonteq buy",IF(I50=0,"Matches quantity","Quantity differs"))))</x:f>
        <x:v>No same-date transaction</x:v>
      </x:c>
    </x:row>
    <x:row r="51">
      <x:c r="A51" s="23" t="d">
        <x:v>2026-10-01T00:00:00.000Z</x:v>
      </x:c>
      <x:c r="B51" s="24" t="str">
        <x:v>D</x:v>
      </x:c>
      <x:c r="C51" s="24" t="str">
        <x:v>Tokio Marine</x:v>
      </x:c>
      <x:c r="D51" s="24" t="str">
        <x:v>TOKIO MARINE HOLDINGS INC</x:v>
      </x:c>
      <x:c r="E51" s="25" t="n">
        <x:v>15554</x:v>
      </x:c>
      <x:c r="F51" s="25" t="n">
        <x:v>0</x:v>
      </x:c>
      <x:c r="G51" s="25" t="n">
        <x:v>0</x:v>
      </x:c>
      <x:c r="H51" s="25" t="n">
        <x:f>IF(B51="A",F51,IF(B51="V",G51,F51+G51))</x:f>
        <x:v>0</x:v>
      </x:c>
      <x:c r="I51" s="25" t="n">
        <x:f>H51-E51</x:f>
        <x:v>-15554</x:v>
      </x:c>
      <x:c r="J51" s="24" t="str">
        <x:f>IF(AND(F51=0,G51=0),"No same-date transaction",IF(AND(B51="A",F51=0,G51&gt;0),"Direction mismatch: AIRS buy / Leonteq sell",IF(AND(B51="V",G51=0,F51&gt;0),"Direction mismatch: AIRS sell / Leonteq buy",IF(I51=0,"Matches quantity","Quantity differs"))))</x:f>
        <x:v>No same-date transaction</x:v>
      </x:c>
    </x:row>
  </x:sheetData>
  <x:conditionalFormatting sqref="J5:J51">
    <x:cfRule type="containsText" dxfId="0" priority="1" operator="containsText" text="Quantity differs"/>
    <x:cfRule type="containsText" dxfId="1" priority="2" operator="containsText" text="No same-date"/>
    <x:cfRule type="containsText" dxfId="2" priority="3" operator="containsText" text="Matches"/>
  </x:conditionalFormatting>
  <x:pageMargins left="0.7" right="0.7" top="0.75" bottom="0.75" header="0.3" footer="0.3"/>
  <x:tableParts count="1">
    <x:tablePart xmlns:r="http://schemas.openxmlformats.org/officeDocument/2006/relationships" r:id="Rb2414dbc4e6c4f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execution history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cb7555886ae047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70" hidden="0" customWidth="1"/>
    <x:col min="7" max="7" width="100" hidden="0" customWidth="1"/>
  </x:cols>
  <x:sheetData>
    <x:row r="2">
      <x:c r="A2" s="1" t="str">
        <x:v>AIRS ledger</x:v>
      </x:c>
    </x:row>
    <x:row r="4">
      <x:c r="A4" s="10" t="str">
        <x:v>Date</x:v>
      </x:c>
      <x:c r="B4" s="10" t="str">
        <x:v>Type</x:v>
      </x:c>
      <x:c r="C4" s="10" t="str">
        <x:v>Quantity</x:v>
      </x:c>
      <x:c r="D4" s="10" t="str">
        <x:v>Instrument</x:v>
      </x:c>
      <x:c r="E4" s="10" t="str">
        <x:v>Normalized instrument</x:v>
      </x:c>
      <x:c r="F4" s="10" t="str">
        <x:v>Remaining source fields</x:v>
      </x:c>
      <x:c r="G4" s="10" t="str">
        <x:v>Original row</x:v>
      </x:c>
    </x:row>
    <x:row r="5">
      <x:c r="A5" s="18" t="d">
        <x:v>2026-07-06T00:00:00.000Z</x:v>
      </x:c>
      <x:c r="B5" t="str">
        <x:v>A</x:v>
      </x:c>
      <x:c r="C5" s="19" t="n">
        <x:v>6742</x:v>
      </x:c>
      <x:c r="D5" t="str">
        <x:v>Aia Group Ltd</x:v>
      </x:c>
      <x:c r="E5" t="str">
        <x:v>AIA GROUP LTD</x:v>
      </x:c>
      <x:c r="F5" t="str">
        <x:v>73,25 | 493.851,50 | 55.000,11</x:v>
      </x:c>
      <x:c r="G5" t="str">
        <x:v>06-07-2026  	 A  	 6.742  	IF Aia Group Ltd  	 73,25  	 493.851,50  	 55.000,11</x:v>
      </x:c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t="str">
        <x:v>TOYOTA MOTOR CORP-REG</x:v>
      </x:c>
      <x:c r="F6" t="str">
        <x:v>2.828,00 | 9.224.936,00 | 50.005,06</x:v>
      </x:c>
      <x:c r="G6" t="str">
        <x:v>06-07-2026  	 A  	 3.262  	IF Toyota  	 2.828,00  	 9.224.936,00  	 50.005,06</x:v>
      </x:c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t="str">
        <x:v>TOKYO ELECTRON LTD</x:v>
      </x:c>
      <x:c r="F7" t="str">
        <x:v>73.200,00 | 6.441.600,00 | 34.917,59</x:v>
      </x:c>
      <x:c r="G7" t="str">
        <x:v>06-07-2026  	 A  	 88  	IF Tokyo Electron  	 73.200,00  	 6.441.600,00  	 34.917,59</x:v>
      </x:c>
    </x:row>
    <x:row r="8">
      <x:c r="A8" s="18" t="d">
        <x:v>2026-07-06T00:00:00.000Z</x:v>
      </x:c>
      <x:c r="B8" t="str">
        <x:v>A</x:v>
      </x:c>
      <x:c r="C8" s="19" t="n">
        <x:v>1216</x:v>
      </x:c>
      <x:c r="D8" t="str">
        <x:v>Tokio Marine</x:v>
      </x:c>
      <x:c r="E8" t="str">
        <x:v>TOKIO MARINE HOLDINGS INC</x:v>
      </x:c>
      <x:c r="F8" t="str">
        <x:v>7.584,00 | 9.222.144,00 | 49.989,92</x:v>
      </x:c>
      <x:c r="G8" t="str">
        <x:v>06-07-2026  	 A  	 1.216  	IF Tokio Marine  	 7.584,00  	 9.222.144,00  	 49.989,92</x:v>
      </x:c>
    </x:row>
    <x:row r="9">
      <x:c r="A9" s="18" t="d">
        <x:v>2026-07-06T00:00:00.000Z</x:v>
      </x:c>
      <x:c r="B9" t="str">
        <x:v>A</x:v>
      </x:c>
      <x:c r="C9" s="19" t="n">
        <x:v>1354</x:v>
      </x:c>
      <x:c r="D9" t="str">
        <x:v>Tencent Holdings Ltd.</x:v>
      </x:c>
      <x:c r="E9" t="str">
        <x:v>TENCENT HOLDINGS LTD</x:v>
      </x:c>
      <x:c r="F9" t="str">
        <x:v>431,20 | 583.844,80 | 65.022,64</x:v>
      </x:c>
      <x:c r="G9" t="str">
        <x:v>06-07-2026  	 A  	 1.354  	IF Tencent Holdings Ltd.  	 431,20  	 583.844,80  	 65.022,64</x:v>
      </x:c>
    </x:row>
    <x:row r="10">
      <x:c r="A10" s="18" t="d">
        <x:v>2026-07-06T00:00:00.000Z</x:v>
      </x:c>
      <x:c r="B10" t="str">
        <x:v>A</x:v>
      </x:c>
      <x:c r="C10" s="19" t="n">
        <x:v>1637</x:v>
      </x:c>
      <x:c r="D10" t="str">
        <x:v>Sony</x:v>
      </x:c>
      <x:c r="E10" t="str">
        <x:v>SONY GROUP CORP</x:v>
      </x:c>
      <x:c r="F10" t="str">
        <x:v>3.380,00 | 5.533.060,00 | 29.992,73</x:v>
      </x:c>
      <x:c r="G10" t="str">
        <x:v>06-07-2026  	 A  	 1.637  	IF Sony  	 3.380,00  	 5.533.060,00  	 29.992,73</x:v>
      </x:c>
    </x:row>
    <x:row r="11">
      <x:c r="A11" s="18" t="d">
        <x:v>2026-07-06T00:00:00.000Z</x:v>
      </x:c>
      <x:c r="B11" t="str">
        <x:v>A</x:v>
      </x:c>
      <x:c r="C11" s="19" t="n">
        <x:v>105</x:v>
      </x:c>
      <x:c r="D11" t="str">
        <x:v>Taiwan Semiconductor Manufact.</x:v>
      </x:c>
      <x:c r="E11" t="str">
        <x:v>TAIWAN SEMICONDUCTOR MANUFACTURING CO</x:v>
      </x:c>
      <x:c r="F11" t="str">
        <x:v>2.445,00 | 256.725,00 | 7.031,70</x:v>
      </x:c>
      <x:c r="G11" t="str">
        <x:v>06-07-2026  	 A  	 105  	IF Taiwan Semiconductor Manufact.  	 2.445,00  	 256.725,00  	 7.031,70</x:v>
      </x:c>
    </x:row>
    <x:row r="12">
      <x:c r="A12" s="18" t="d">
        <x:v>2026-07-06T00:00:00.000Z</x:v>
      </x:c>
      <x:c r="B12" t="str">
        <x:v>A</x:v>
      </x:c>
      <x:c r="C12" s="19" t="n">
        <x:v>18</x:v>
      </x:c>
      <x:c r="D12" t="str">
        <x:v>SK Hynix Inc</x:v>
      </x:c>
      <x:c r="E12" t="str">
        <x:v>SK HYNIX INC</x:v>
      </x:c>
      <x:c r="F12" t="str">
        <x:v>2.919.000,00 | 52.542.000,00 | 29.973,63</x:v>
      </x:c>
      <x:c r="G12" t="str">
        <x:v>06-07-2026  	 A  	 18  	IF SK Hynix Inc  	 2.919.000,00  	 52.542.000,00  	 29.973,63</x:v>
      </x:c>
    </x:row>
    <x:row r="13">
      <x:c r="A13" s="18" t="d">
        <x:v>2026-07-06T00:00:00.000Z</x:v>
      </x:c>
      <x:c r="B13" t="str">
        <x:v>A</x:v>
      </x:c>
      <x:c r="C13" s="19" t="n">
        <x:v>340</x:v>
      </x:c>
      <x:c r="D13" t="str">
        <x:v>Samsung Electronics</x:v>
      </x:c>
      <x:c r="E13" t="str">
        <x:v>SAMSUNG ELECTRONICS</x:v>
      </x:c>
      <x:c r="F13" t="str">
        <x:v>309.500,00 | 105.230.000,00 | 60.030,56</x:v>
      </x:c>
      <x:c r="G13" t="str">
        <x:v>06-07-2026  	 A  	 340  	IF Samsung Electronics  	 309.500,00  	 105.230.000,00  	 60.030,56</x:v>
      </x:c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t="str">
        <x:v>NESTLE INDIA LTD</x:v>
      </x:c>
      <x:c r="F14" t="str">
        <x:v>1.400,00 | 4.905.600,00 | 45.004,66</x:v>
      </x:c>
      <x:c r="G14" t="str">
        <x:v>06-07-2026  	 A  	 3.504  	IF Nestle India Ltd  	 1.400,00  	 4.905.600,00  	 45.004,66</x:v>
      </x:c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t="str">
        <x:v>NU HOLDINGS LTD/CAYMAN ISL-A</x:v>
      </x:c>
      <x:c r="F15" t="str">
        <x:v>13,61 | 40.067,84 | 34.999,86</x:v>
      </x:c>
      <x:c r="G15" t="str">
        <x:v>06-07-2026  	 A  	 2.944  	IF Nu Holdings Ltd Class A  	 13,61  	 40.067,84  	 34.999,86</x:v>
      </x:c>
    </x:row>
    <x:row r="16">
      <x:c r="A16" s="18" t="d">
        <x:v>2026-07-06T00:00:00.000Z</x:v>
      </x:c>
      <x:c r="B16" t="str">
        <x:v>A</x:v>
      </x:c>
      <x:c r="C16" s="19" t="n">
        <x:v>214</x:v>
      </x:c>
      <x:c r="D16" t="str">
        <x:v>Mitsui Kinzoku Co Ltd</x:v>
      </x:c>
      <x:c r="E16" t="str">
        <x:v>MITSUI MINING SMELTING CO</x:v>
      </x:c>
      <x:c r="F16" t="str">
        <x:v>38.740,00 | 8.290.360,00 | 44.939,06</x:v>
      </x:c>
      <x:c r="G16" t="str">
        <x:v>06-07-2026  	 A  	 214  	IF Mitsui Kinzoku Co Ltd  	 38.740,00  	 8.290.360,00  	 44.939,06</x:v>
      </x:c>
    </x:row>
    <x:row r="17">
      <x:c r="A17" s="18" t="d">
        <x:v>2026-07-06T00:00:00.000Z</x:v>
      </x:c>
      <x:c r="B17" t="str">
        <x:v>A</x:v>
      </x:c>
      <x:c r="C17" s="19" t="n">
        <x:v>26</x:v>
      </x:c>
      <x:c r="D17" t="str">
        <x:v>MercadoLibre</x:v>
      </x:c>
      <x:c r="E17" t="str">
        <x:v>MERCADOLIBRE INC</x:v>
      </x:c>
      <x:c r="F17" t="str">
        <x:v>1.763,36 | 45.847,36 | 40.048,36</x:v>
      </x:c>
      <x:c r="G17" t="str">
        <x:v>06-07-2026  	 A  	 26  	IF MercadoLibre  	 1.763,36  	 45.847,36  	 40.048,36</x:v>
      </x:c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t="str">
        <x:v>MEDIATEK INC</x:v>
      </x:c>
      <x:c r="F18" t="str">
        <x:v>4.390,00 | 127.310,00 | 3.487,02</x:v>
      </x:c>
      <x:c r="G18" t="str">
        <x:v>06-07-2026  	 A  	 29  	IF MediaTek Inc.  	 4.390,00  	 127.310,00  	 3.487,02</x:v>
      </x:c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t="str">
        <x:v>LARSEN &amp; TOUBRO-GDR REG S</x:v>
      </x:c>
      <x:c r="F19" t="str">
        <x:v>4.200,00 | 5.451.600,00 | 50.013,74</x:v>
      </x:c>
      <x:c r="G19" t="str">
        <x:v>06-07-2026  	 A  	 1.298  	IF Larsen &amp; Toubro Limited  	 4.200,00  	 5.451.600,00  	 50.013,74</x:v>
      </x:c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t="str">
        <x:v>KEYENCE CORP</x:v>
      </x:c>
      <x:c r="F20" t="str">
        <x:v>80.300,00 | 8.270.900,00 | 44.833,57</x:v>
      </x:c>
      <x:c r="G20" t="str">
        <x:v>06-07-2026  	 A  	 103  	IF Keyence  	 80.300,00  	 8.270.900,00  	 44.833,57</x:v>
      </x:c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t="str">
        <x:v>HOYA CORP</x:v>
      </x:c>
      <x:c r="F21" t="str">
        <x:v>27.000,00 | 11.070.000,00 | 60.006,48</x:v>
      </x:c>
      <x:c r="G21" t="str">
        <x:v>06-07-2026  	 A  	 410  	IF HOYA Corporation  	 27.000,00  	 11.070.000,00  	 60.006,48</x:v>
      </x:c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t="str">
        <x:v>HITACHI LTD</x:v>
      </x:c>
      <x:c r="F22" t="str">
        <x:v>4.615,00 | 10.148.385,00 | 55.010,74</x:v>
      </x:c>
      <x:c r="G22" t="str">
        <x:v>06-07-2026  	 A  	 2.199  	IF Hitachi  	 4.615,00  	 10.148.385,00  	 55.010,74</x:v>
      </x:c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t="str">
        <x:v>HDFC BANK LTD-ADR</x:v>
      </x:c>
      <x:c r="F23" t="str">
        <x:v>801,00 | 4.905.324,00 | 45.002,13</x:v>
      </x:c>
      <x:c r="G23" t="str">
        <x:v>06-07-2026  	 A  	 6.124  	IF HDFC Bank  	 801,00  	 4.905.324,00  	 45.002,13</x:v>
      </x:c>
    </x:row>
    <x:row r="24">
      <x:c r="A24" s="18" t="d">
        <x:v>2026-07-06T00:00:00.000Z</x:v>
      </x:c>
      <x:c r="B24" t="str">
        <x:v>A</x:v>
      </x:c>
      <x:c r="C24" s="19" t="n">
        <x:v>88</x:v>
      </x:c>
      <x:c r="D24" t="str">
        <x:v>Delta Electronics Inc.</x:v>
      </x:c>
      <x:c r="E24" t="str">
        <x:v>DELTA ELECTRONICS INC</x:v>
      </x:c>
      <x:c r="F24" t="str">
        <x:v>2.075,00 | 182.600,00 | 5.001,41</x:v>
      </x:c>
      <x:c r="G24" t="str">
        <x:v>06-07-2026  	 A  	 88  	IF Delta Electronics Inc.  	 2.075,00  	 182.600,00  	 5.001,41</x:v>
      </x:c>
    </x:row>
    <x:row r="25">
      <x:c r="A25" s="18" t="d">
        <x:v>2026-07-06T00:00:00.000Z</x:v>
      </x:c>
      <x:c r="B25" t="str">
        <x:v>A</x:v>
      </x:c>
      <x:c r="C25" s="19" t="n">
        <x:v>2024</x:v>
      </x:c>
      <x:c r="D25" t="str">
        <x:v>Baidu</x:v>
      </x:c>
      <x:c r="E25" t="str">
        <x:v>BAIDU INC-CLASS A</x:v>
      </x:c>
      <x:c r="F25" t="str">
        <x:v>110,90 | 224.461,60 | 24.998,23</x:v>
      </x:c>
      <x:c r="G25" t="str">
        <x:v>06-07-2026  	 A  	 2.024  	IF Baidu  	 110,90  	 224.461,60  	 24.998,23</x:v>
      </x:c>
    </x:row>
    <x:row r="26">
      <x:c r="A26" s="18" t="d">
        <x:v>2026-07-06T00:00:00.000Z</x:v>
      </x:c>
      <x:c r="B26" t="str">
        <x:v>A</x:v>
      </x:c>
      <x:c r="C26" s="19" t="n">
        <x:v>2386</x:v>
      </x:c>
      <x:c r="D26" t="str">
        <x:v>Alibaba</x:v>
      </x:c>
      <x:c r="E26" t="str">
        <x:v>ALIBABA GROUP HOLDING LTD</x:v>
      </x:c>
      <x:c r="F26" t="str">
        <x:v>94,10 | 224.522,60 | 25.005,02</x:v>
      </x:c>
      <x:c r="G26" t="str">
        <x:v>06-07-2026  	 A  	 2.386  	IF Alibaba  	 94,10  	 224.522,60  	 25.005,02</x:v>
      </x:c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t="str">
        <x:v>ALIBABA GROUP HOLDING LTD</x:v>
      </x:c>
      <x:c r="F27" t="str">
        <x:v>125,80 | 250.845,20 | 27.774,17</x:v>
      </x:c>
      <x:c r="G27" t="str">
        <x:v>04-08-2026  	 A  	 1.994  	IF Alibaba  	 125,80  	 250.845,20  	 27.774,17</x:v>
      </x:c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t="str">
        <x:v>AIA GROUP LTD</x:v>
      </x:c>
      <x:c r="F28" t="str">
        <x:v>78,05 | 53.620,35 | 5.936,97 | 5.604,43 | 332,54 | 5,9%</x:v>
      </x:c>
      <x:c r="G28" t="str">
        <x:v>04-08-2026  	 V  	 687  	IF Aia Group Ltd  	   	   	   	 78,05  	 53.620,35  	 5.936,97  	 5.604,43  	   	 332,54  	 5,9%</x:v>
      </x:c>
    </x:row>
    <x:row r="29">
      <x:c r="A29" s="18" t="d">
        <x:v>2026-08-04T00:00:00.000Z</x:v>
      </x:c>
      <x:c r="B29" t="str">
        <x:v>A</x:v>
      </x:c>
      <x:c r="C29" s="19" t="n">
        <x:v>2166</x:v>
      </x:c>
      <x:c r="D29" t="str">
        <x:v>Baidu</x:v>
      </x:c>
      <x:c r="E29" t="str">
        <x:v>BAIDU INC-CLASS A</x:v>
      </x:c>
      <x:c r="F29" t="str">
        <x:v>110,20 | 238.693,20 | 26.428,67</x:v>
      </x:c>
      <x:c r="G29" t="str">
        <x:v>04-08-2026  	 A  	 2.166  	IF Baidu  	 110,20  	 238.693,20  	 26.428,67</x:v>
      </x:c>
    </x:row>
    <x:row r="30">
      <x:c r="A30" s="18" t="d">
        <x:v>2026-08-04T00:00:00.000Z</x:v>
      </x:c>
      <x:c r="B30" t="str">
        <x:v>A</x:v>
      </x:c>
      <x:c r="C30" s="19" t="n">
        <x:v>24</x:v>
      </x:c>
      <x:c r="D30" t="str">
        <x:v>Tokyo Electron</x:v>
      </x:c>
      <x:c r="E30" t="str">
        <x:v>TOKYO ELECTRON LTD</x:v>
      </x:c>
      <x:c r="F30" t="str">
        <x:v>56.700,00 | 1.360.800,00 | 7.507,45</x:v>
      </x:c>
      <x:c r="G30" t="str">
        <x:v>04-08-2026  	 A  	 24  	IF Tokyo Electron  	 56.700,00  	 1.360.800,00  	 7.507,45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t="str">
        <x:v>TOYOTA MOTOR CORP-REG</x:v>
      </x:c>
      <x:c r="F31" t="str">
        <x:v>2.918,50 | 779.239,50 | 4.299,02 | 4.093,00 | 206,02 | 5,0%</x:v>
      </x:c>
      <x:c r="G31" t="str">
        <x:v>04-08-2026  	 V  	 267  	IF Toyota  	   	   	   	 2.918,50  	 779.239,50  	 4.299,02  	 4.093,00  	   	 206,02  	 5,0%</x:v>
      </x:c>
    </x:row>
    <x:row r="32">
      <x:c r="A32" s="18" t="d">
        <x:v>2026-08-04T00:00:00.000Z</x:v>
      </x:c>
      <x:c r="B32" t="str">
        <x:v>V</x:v>
      </x:c>
      <x:c r="C32" s="19" t="n">
        <x:v>105</x:v>
      </x:c>
      <x:c r="D32" t="str">
        <x:v>Tokio Marine</x:v>
      </x:c>
      <x:c r="E32" t="str">
        <x:v>TOKIO MARINE HOLDINGS INC</x:v>
      </x:c>
      <x:c r="F32" t="str">
        <x:v>7.709,00 | 809.445,00 | 4.465,66 | 4.316,56 | 149,10 | 3,5%</x:v>
      </x:c>
      <x:c r="G32" t="str">
        <x:v>04-08-2026  	 V  	 105  	IF Tokio Marine  	   	   	   	 7.709,00  	 809.445,00  	 4.465,66  	 4.316,56  	   	 149,10  	 3,5%</x:v>
      </x:c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t="str">
        <x:v>TENCENT HOLDINGS LTD</x:v>
      </x:c>
      <x:c r="F33" t="str">
        <x:v>487,60 | 88.255,60 | 9.771,87 | 8.692,10 | 1.079,77 | 12,4%</x:v>
      </x:c>
      <x:c r="G33" t="str">
        <x:v>04-08-2026  	 V  	 181  	IF Tencent Holdings Ltd.  	   	   	   	 487,60  	 88.255,60  	 9.771,87  	 8.692,10  	   	 1.079,77  	 12,4%</x:v>
      </x:c>
    </x:row>
    <x:row r="34">
      <x:c r="A34" s="18" t="d">
        <x:v>2026-08-04T00:00:00.000Z</x:v>
      </x:c>
      <x:c r="B34" t="str">
        <x:v>A</x:v>
      </x:c>
      <x:c r="C34" s="19" t="n">
        <x:v>1021</x:v>
      </x:c>
      <x:c r="D34" t="str">
        <x:v>Taiwan Semiconductor Manufact.</x:v>
      </x:c>
      <x:c r="E34" t="str">
        <x:v>TAIWAN SEMICONDUCTOR MANUFACTURING CO</x:v>
      </x:c>
      <x:c r="F34" t="str">
        <x:v>2.320,00 | 2.368.720,00 | 63.363,26</x:v>
      </x:c>
      <x:c r="G34" t="str">
        <x:v>04-08-2026  	 A  	 1.021  	IF Taiwan Semiconductor Manufact.  	 2.320,00  	 2.368.720,00  	 63.363,26</x:v>
      </x:c>
    </x:row>
    <x:row r="35">
      <x:c r="A35" s="18" t="d">
        <x:v>2026-08-04T00:00:00.000Z</x:v>
      </x:c>
      <x:c r="B35" t="str">
        <x:v>V</x:v>
      </x:c>
      <x:c r="C35" s="19" t="n">
        <x:v>123</x:v>
      </x:c>
      <x:c r="D35" t="str">
        <x:v>Sony</x:v>
      </x:c>
      <x:c r="E35" t="str">
        <x:v>SONY GROUP CORP</x:v>
      </x:c>
      <x:c r="F35" t="str">
        <x:v>3.539,00 | 435.297,00 | 2.401,51 | 2.253,58 | 147,93 | 6,6%</x:v>
      </x:c>
      <x:c r="G35" t="str">
        <x:v>04-08-2026  	 V  	 123  	IF Sony  	   	   	   	 3.539,00  	 435.297,00  	 2.401,51  	 2.253,58  	   	 147,93  	 6,6%</x:v>
      </x:c>
    </x:row>
    <x:row r="36">
      <x:c r="A36" s="18" t="d">
        <x:v>2026-08-04T00:00:00.000Z</x:v>
      </x:c>
      <x:c r="B36" t="str">
        <x:v>A</x:v>
      </x:c>
      <x:c r="C36" s="19" t="n">
        <x:v>8</x:v>
      </x:c>
      <x:c r="D36" t="str">
        <x:v>SK Hynix Inc</x:v>
      </x:c>
      <x:c r="E36" t="str">
        <x:v>SK HYNIX INC</x:v>
      </x:c>
      <x:c r="F36" t="str">
        <x:v>1.718.000,00 | 13.744.000,00 | 8.363,50</x:v>
      </x:c>
      <x:c r="G36" t="str">
        <x:v>04-08-2026  	 A  	 8  	IF SK Hynix Inc  	 1.718.000,00  	 13.744.000,00  	 8.363,50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t="str">
        <x:v>SAMSUNG ELECTRONICS</x:v>
      </x:c>
      <x:c r="F37" t="str">
        <x:v>240.000,00 | 16.800.000,00 | 10.223,14</x:v>
      </x:c>
      <x:c r="G37" t="str">
        <x:v>04-08-2026  	 A  	 70  	IF Samsung Electronics  	 240.000,00  	 16.800.000,00  	 10.223,14</x:v>
      </x:c>
    </x:row>
    <x:row r="38">
      <x:c r="A38" s="18" t="d">
        <x:v>2026-08-04T00:00:00.000Z</x:v>
      </x:c>
      <x:c r="B38" t="str">
        <x:v>V</x:v>
      </x:c>
      <x:c r="C38" s="19" t="n">
        <x:v>192</x:v>
      </x:c>
      <x:c r="D38" t="str">
        <x:v>Nu Holdings Ltd Class A</x:v>
      </x:c>
      <x:c r="E38" t="str">
        <x:v>NU HOLDINGS LTD/CAYMAN ISL-A</x:v>
      </x:c>
      <x:c r="F38" t="str">
        <x:v>14,33 | 2.751,36 | 2.389,37 | 2.282,60 | 106,77 | 4,7%</x:v>
      </x:c>
      <x:c r="G38" t="str">
        <x:v>04-08-2026  	 V  	 192  	IF Nu Holdings Ltd Class A  	   	   	   	 14,33  	 2.751,36  	 2.389,37  	 2.282,60  	   	 106,77  	 4,7%</x:v>
      </x:c>
    </x:row>
    <x:row r="39">
      <x:c r="A39" s="18" t="d">
        <x:v>2026-08-04T00:00:00.000Z</x:v>
      </x:c>
      <x:c r="B39" t="str">
        <x:v>V</x:v>
      </x:c>
      <x:c r="C39" s="19" t="n">
        <x:v>3504</x:v>
      </x:c>
      <x:c r="D39" t="str">
        <x:v>Nestle India Ltd</x:v>
      </x:c>
      <x:c r="E39" t="str">
        <x:v>NESTLE INDIA LTD</x:v>
      </x:c>
      <x:c r="F39" t="str">
        <x:v>1.400,00 | 4.905.600,00 | 44.665,98 | 45.004,66 | -338,68 | -0,8%</x:v>
      </x:c>
      <x:c r="G39" t="str">
        <x:v>04-08-2026  	 V  	 3.504  	IF Nestle India Ltd  	   	   	   	 1.400,00  	 4.905.600,00  	 44.665,98  	 45.004,66  	   	 -338,68  	 -0,8%</x:v>
      </x:c>
    </x:row>
    <x:row r="40">
      <x:c r="A40" s="18" t="d">
        <x:v>2026-08-04T00:00:00.000Z</x:v>
      </x:c>
      <x:c r="B40" t="str">
        <x:v>V</x:v>
      </x:c>
      <x:c r="C40" s="19" t="n">
        <x:v>214</x:v>
      </x:c>
      <x:c r="D40" t="str">
        <x:v>Mitsui Kinzoku Co Ltd</x:v>
      </x:c>
      <x:c r="E40" t="str">
        <x:v>MITSUI MINING SMELTING CO</x:v>
      </x:c>
      <x:c r="F40" t="str">
        <x:v>31.900,00 | 6.826.600,00 | 37.661,94 | 44.939,06 | -7.277,11 | -16,2%</x:v>
      </x:c>
      <x:c r="G40" t="str">
        <x:v>04-08-2026  	 V  	 214  	IF Mitsui Kinzoku Co Ltd  	   	   	   	 31.900,00  	 6.826.600,00  	 37.661,94  	 44.939,06  	   	 -7.277,11  	 -16,2%</x:v>
      </x:c>
    </x:row>
    <x:row r="41">
      <x:c r="A41" s="18" t="d">
        <x:v>2026-08-04T00:00:00.000Z</x:v>
      </x:c>
      <x:c r="B41" t="str">
        <x:v>A</x:v>
      </x:c>
      <x:c r="C41" s="19" t="n">
        <x:v>2347</x:v>
      </x:c>
      <x:c r="D41" t="str">
        <x:v>Mitsubishi UFJ Financial</x:v>
      </x:c>
      <x:c r="E41" t="str">
        <x:v>MITSUBISHI UFJ FINANCIAL GRO</x:v>
      </x:c>
      <x:c r="F41" t="str">
        <x:v>3.470,00 | 8.144.090,00 | 44.930,46</x:v>
      </x:c>
      <x:c r="G41" t="str">
        <x:v>04-08-2026  	 A  	 2.347  	IF Mitsubishi UFJ Financial  	 3.470,00  	 8.144.090,00  	 44.930,46</x:v>
      </x:c>
    </x:row>
    <x:row r="42">
      <x:c r="A42" s="18" t="d">
        <x:v>2026-08-04T00:00:00.000Z</x:v>
      </x:c>
      <x:c r="B42" t="str">
        <x:v>V</x:v>
      </x:c>
      <x:c r="C42" s="19" t="n">
        <x:v>2</x:v>
      </x:c>
      <x:c r="D42" t="str">
        <x:v>MercadoLibre</x:v>
      </x:c>
      <x:c r="E42" t="str">
        <x:v>MERCADOLIBRE INC</x:v>
      </x:c>
      <x:c r="F42" t="str">
        <x:v>1.888,50 | 3.777,00 | 3.280,07 | 3.080,64 | 199,43 | 6,5%</x:v>
      </x:c>
      <x:c r="G42" t="str">
        <x:v>04-08-2026  	 V  	 2  	IF MercadoLibre  	   	   	   	 1.888,50  	 3.777,00  	 3.280,07  	 3.080,64  	   	 199,43  	 6,5%</x:v>
      </x:c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t="str">
        <x:v>MEDIATEK INC</x:v>
      </x:c>
      <x:c r="F43" t="str">
        <x:v>3.555,00 | 1.002.510,00 | 26.817,14</x:v>
      </x:c>
      <x:c r="G43" t="str">
        <x:v>04-08-2026  	 A  	 282  	IF MediaTek Inc.  	 3.555,00  	 1.002.510,00  	 26.817,14</x:v>
      </x:c>
    </x:row>
    <x:row r="44">
      <x:c r="A44" s="18" t="d">
        <x:v>2026-08-04T00:00:00.000Z</x:v>
      </x:c>
      <x:c r="B44" t="str">
        <x:v>A</x:v>
      </x:c>
      <x:c r="C44" s="19" t="n">
        <x:v>53</x:v>
      </x:c>
      <x:c r="D44" t="str">
        <x:v>Larsen &amp; Toubro Limited</x:v>
      </x:c>
      <x:c r="E44" t="str">
        <x:v>LARSEN &amp; TOUBRO-GDR REG S</x:v>
      </x:c>
      <x:c r="F44" t="str">
        <x:v>4.060,35 | 215.198,55 | 1.959,40</x:v>
      </x:c>
      <x:c r="G44" t="str">
        <x:v>04-08-2026  	 A  	 53  	IF Larsen &amp; Toubro Limited  	 4.060,35  	 215.198,55  	 1.959,40</x:v>
      </x:c>
    </x:row>
    <x:row r="45">
      <x:c r="A45" s="18" t="d">
        <x:v>2026-08-04T00:00:00.000Z</x:v>
      </x:c>
      <x:c r="B45" t="str">
        <x:v>V</x:v>
      </x:c>
      <x:c r="C45" s="19" t="n">
        <x:v>11</x:v>
      </x:c>
      <x:c r="D45" t="str">
        <x:v>Keyence</x:v>
      </x:c>
      <x:c r="E45" t="str">
        <x:v>KEYENCE CORP</x:v>
      </x:c>
      <x:c r="F45" t="str">
        <x:v>82.900,00 | 911.900,00 | 5.030,90 | 4.788,05 | 242,85 | 5,1%</x:v>
      </x:c>
      <x:c r="G45" t="str">
        <x:v>04-08-2026  	 V  	 11  	IF Keyence  	   	   	   	 82.900,00  	 911.900,00  	 5.030,90  	 4.788,05  	   	 242,85  	 5,1%</x:v>
      </x:c>
    </x:row>
    <x:row r="46">
      <x:c r="A46" s="18" t="d">
        <x:v>2026-08-04T00:00:00.000Z</x:v>
      </x:c>
      <x:c r="B46" t="str">
        <x:v>V</x:v>
      </x:c>
      <x:c r="C46" s="19" t="n">
        <x:v>47</x:v>
      </x:c>
      <x:c r="D46" t="str">
        <x:v>HOYA Corporation</x:v>
      </x:c>
      <x:c r="E46" t="str">
        <x:v>HOYA CORP</x:v>
      </x:c>
      <x:c r="F46" t="str">
        <x:v>27.000,00 | 1.269.000,00 | 7.001,00 | 6.878,79 | 122,20 | 1,8%</x:v>
      </x:c>
      <x:c r="G46" t="str">
        <x:v>04-08-2026  	 V  	 47  	IF HOYA Corporation  	   	   	   	 27.000,00  	 1.269.000,00  	 7.001,00  	 6.878,79  	   	 122,20  	 1,8%</x:v>
      </x:c>
    </x:row>
    <x:row r="47">
      <x:c r="A47" s="18" t="d">
        <x:v>2026-08-04T00:00:00.000Z</x:v>
      </x:c>
      <x:c r="B47" t="str">
        <x:v>V</x:v>
      </x:c>
      <x:c r="C47" s="19" t="n">
        <x:v>286</x:v>
      </x:c>
      <x:c r="D47" t="str">
        <x:v>Hitachi</x:v>
      </x:c>
      <x:c r="E47" t="str">
        <x:v>HITACHI LTD</x:v>
      </x:c>
      <x:c r="F47" t="str">
        <x:v>5.412,00 | 1.547.832,00 | 8.539,30 | 7.154,65 | 1.384,65 | 19,4%</x:v>
      </x:c>
      <x:c r="G47" t="str">
        <x:v>04-08-2026  	 V  	 286  	IF Hitachi  	   	   	   	 5.412,00  	 1.547.832,00  	 8.539,30  	 7.154,65  	   	 1.384,65  	 19,4%</x:v>
      </x:c>
    </x:row>
    <x:row r="48">
      <x:c r="A48" s="18" t="d">
        <x:v>2026-08-04T00:00:00.000Z</x:v>
      </x:c>
      <x:c r="B48" t="str">
        <x:v>A</x:v>
      </x:c>
      <x:c r="C48" s="19" t="n">
        <x:v>546</x:v>
      </x:c>
      <x:c r="D48" t="str">
        <x:v>HDFC Bank</x:v>
      </x:c>
      <x:c r="E48" t="str">
        <x:v>HDFC BANK LTD-ADR</x:v>
      </x:c>
      <x:c r="F48" t="str">
        <x:v>739,95 | 404.012,70 | 3.678,58</x:v>
      </x:c>
      <x:c r="G48" t="str">
        <x:v>04-08-2026  	 A  	 546  	IF HDFC Bank  	 739,95  	 404.012,70  	 3.678,58</x:v>
      </x:c>
    </x:row>
    <x:row r="49">
      <x:c r="A49" s="18" t="d">
        <x:v>2026-08-04T00:00:00.000Z</x:v>
      </x:c>
      <x:c r="B49" t="str">
        <x:v>A</x:v>
      </x:c>
      <x:c r="C49" s="19" t="n">
        <x:v>1064</x:v>
      </x:c>
      <x:c r="D49" t="str">
        <x:v>Delta Electronics Inc.</x:v>
      </x:c>
      <x:c r="E49" t="str">
        <x:v>DELTA ELECTRONICS INC</x:v>
      </x:c>
      <x:c r="F49" t="str">
        <x:v>1.620,00 | 1.723.680,00 | 46.108,44</x:v>
      </x:c>
      <x:c r="G49" t="str">
        <x:v>04-08-2026  	 A  	 1.064  	IF Delta Electronics Inc.  	 1.620,00  	 1.723.680,00  	 46.108,44</x:v>
      </x:c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t="str">
        <x:v>TOKYO ELECTRON LTD</x:v>
      </x:c>
      <x:c r="F50" t="str"/>
      <x:c r="G50" t="str">
        <x:v>01-10-2026  	 D  	 448  	IF Tokyo Electron</x:v>
      </x:c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t="str">
        <x:v>TOKIO MARINE HOLDINGS INC</x:v>
      </x:c>
      <x:c r="F51" t="str"/>
      <x:c r="G51" t="str">
        <x:v>01-10-2026  	 D  	 15.554  	IF Tokio Marine</x:v>
      </x:c>
    </x:row>
  </x:sheetData>
  <x:pageMargins left="0.7" right="0.7" top="0.75" bottom="0.75" header="0.3" footer="0.3"/>
  <x:tableParts count="1">
    <x:tablePart xmlns:r="http://schemas.openxmlformats.org/officeDocument/2006/relationships" r:id="Rf6b7cd95736b440a"/>
  </x:tableParts>
</x:worksheet>
</file>